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rah\Documents\GitHub\OSCMSeminarProcessIndustry\Capacity_Planning\lib\"/>
    </mc:Choice>
  </mc:AlternateContent>
  <bookViews>
    <workbookView xWindow="0" yWindow="0" windowWidth="23040" windowHeight="9096"/>
  </bookViews>
  <sheets>
    <sheet name="DataTiming" sheetId="29" r:id="rId1"/>
    <sheet name="F" sheetId="15" r:id="rId2"/>
    <sheet name="F in N" sheetId="4" r:id="rId3"/>
    <sheet name="IMf" sheetId="17" r:id="rId4"/>
    <sheet name="OMf" sheetId="18" r:id="rId5"/>
    <sheet name="Const." sheetId="3" r:id="rId6"/>
    <sheet name="TRn" sheetId="16" r:id="rId7"/>
    <sheet name="MassBalance" sheetId="19" r:id="rId8"/>
    <sheet name="DataF" sheetId="1" r:id="rId9"/>
    <sheet name="Dict (i=8)" sheetId="5" r:id="rId10"/>
    <sheet name="Sis" sheetId="27" r:id="rId11"/>
    <sheet name="Pif" sheetId="6" r:id="rId12"/>
    <sheet name="CIF1sf" sheetId="8" r:id="rId13"/>
    <sheet name="CIF2sf" sheetId="20" r:id="rId14"/>
    <sheet name="CIF3sf" sheetId="21" r:id="rId15"/>
    <sheet name="CIF4sf" sheetId="22" r:id="rId16"/>
    <sheet name="CIF5sf" sheetId="23" r:id="rId17"/>
    <sheet name="CIF6sf" sheetId="24" r:id="rId18"/>
    <sheet name="CIF7sf" sheetId="25" r:id="rId19"/>
    <sheet name="IDisf" sheetId="26" r:id="rId20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3" i="29" l="1"/>
  <c r="C1" i="5"/>
  <c r="C3" i="5" s="1"/>
  <c r="D3" i="5" s="1"/>
  <c r="C5" i="5"/>
  <c r="D5" i="5" s="1"/>
  <c r="C4" i="5" l="1"/>
  <c r="D4" i="5" s="1"/>
  <c r="C6" i="5"/>
  <c r="D6" i="5" s="1"/>
  <c r="H6" i="29"/>
  <c r="H5" i="29"/>
  <c r="B12" i="29"/>
  <c r="B4" i="29"/>
  <c r="B2" i="24" l="1"/>
  <c r="C2" i="25"/>
  <c r="D2" i="25"/>
  <c r="E2" i="25"/>
  <c r="C3" i="25"/>
  <c r="D3" i="25"/>
  <c r="E3" i="25"/>
  <c r="B3" i="25"/>
  <c r="B2" i="25"/>
  <c r="C2" i="24"/>
  <c r="D2" i="24"/>
  <c r="E2" i="24"/>
  <c r="C3" i="24"/>
  <c r="D3" i="24"/>
  <c r="E3" i="24"/>
  <c r="B3" i="24"/>
  <c r="C2" i="22"/>
  <c r="D2" i="22"/>
  <c r="E2" i="22"/>
  <c r="C3" i="22"/>
  <c r="D3" i="22"/>
  <c r="E3" i="22"/>
  <c r="B3" i="22"/>
  <c r="B2" i="22"/>
  <c r="C2" i="21"/>
  <c r="D2" i="21"/>
  <c r="E2" i="21"/>
  <c r="C3" i="21"/>
  <c r="D3" i="21"/>
  <c r="E3" i="21"/>
  <c r="B3" i="21"/>
  <c r="B2" i="21"/>
  <c r="C2" i="20"/>
  <c r="D2" i="20"/>
  <c r="E2" i="20"/>
  <c r="C3" i="20"/>
  <c r="D3" i="20"/>
  <c r="E3" i="20"/>
  <c r="B3" i="20"/>
  <c r="B2" i="20"/>
  <c r="D1" i="5" l="1"/>
</calcChain>
</file>

<file path=xl/sharedStrings.xml><?xml version="1.0" encoding="utf-8"?>
<sst xmlns="http://schemas.openxmlformats.org/spreadsheetml/2006/main" count="72" uniqueCount="53">
  <si>
    <t>Production days per year</t>
  </si>
  <si>
    <t>Nation n</t>
  </si>
  <si>
    <t>Customer c</t>
  </si>
  <si>
    <t>corporate tax TRn</t>
  </si>
  <si>
    <t>Sum</t>
  </si>
  <si>
    <t>IF</t>
  </si>
  <si>
    <t>Facility f</t>
  </si>
  <si>
    <t>F</t>
  </si>
  <si>
    <t>EF</t>
  </si>
  <si>
    <t>S_start</t>
  </si>
  <si>
    <t>C_final</t>
  </si>
  <si>
    <t>f/n</t>
  </si>
  <si>
    <t>f/i</t>
  </si>
  <si>
    <t>Project life Lf</t>
  </si>
  <si>
    <t>years</t>
  </si>
  <si>
    <t>days/year</t>
  </si>
  <si>
    <t>Percentage of Monopoly D</t>
  </si>
  <si>
    <t>s/f</t>
  </si>
  <si>
    <t>Budget for primary expansion (t=1)</t>
  </si>
  <si>
    <r>
      <t>Budget fo seconcary expansion (t=1+</t>
    </r>
    <r>
      <rPr>
        <sz val="11"/>
        <color theme="1"/>
        <rFont val="Calibri"/>
        <family val="2"/>
      </rPr>
      <t>∆t*)</t>
    </r>
  </si>
  <si>
    <t>$</t>
  </si>
  <si>
    <t>MCf [$/ton]</t>
  </si>
  <si>
    <t>Percentage of D</t>
  </si>
  <si>
    <t>f/i [$/ton]</t>
  </si>
  <si>
    <t>s/f [$/ton]</t>
  </si>
  <si>
    <t>alle Kosten bzw. Transportmengen müssen zum Zeitpunkt t auf ein Jahr hochgerechnet werden!</t>
  </si>
  <si>
    <t>planning horizon T</t>
  </si>
  <si>
    <r>
      <t xml:space="preserve">discount factor </t>
    </r>
    <r>
      <rPr>
        <sz val="11"/>
        <color theme="1"/>
        <rFont val="Calibri"/>
        <family val="2"/>
      </rPr>
      <t>α</t>
    </r>
  </si>
  <si>
    <t>construction time sp0</t>
  </si>
  <si>
    <t>construction time ss0</t>
  </si>
  <si>
    <t>construction cost cp</t>
  </si>
  <si>
    <t>set up cost Kp</t>
  </si>
  <si>
    <t>set up cost Ks</t>
  </si>
  <si>
    <t>weeks</t>
  </si>
  <si>
    <t>per week</t>
  </si>
  <si>
    <t>(5 years with 50 weeks per year)</t>
  </si>
  <si>
    <t>(or 0,95 per year)</t>
  </si>
  <si>
    <t>$/week</t>
  </si>
  <si>
    <t>This is slightly less than the time it will take for a new drug to go through the three stages of clinical trials and roughly the time it will take to build and qualify new capacity.</t>
  </si>
  <si>
    <r>
      <t xml:space="preserve">penalty costs </t>
    </r>
    <r>
      <rPr>
        <sz val="11"/>
        <color theme="1"/>
        <rFont val="Symbol"/>
        <family val="1"/>
        <charset val="2"/>
      </rPr>
      <t>p</t>
    </r>
  </si>
  <si>
    <t>gamma 0</t>
  </si>
  <si>
    <t>zeta 0</t>
  </si>
  <si>
    <t>gamma c</t>
  </si>
  <si>
    <t>capacity demand</t>
  </si>
  <si>
    <t>total cost p</t>
  </si>
  <si>
    <t>total cost s</t>
  </si>
  <si>
    <t>max cap. Quf [tons/year]</t>
  </si>
  <si>
    <t>D Monopoly [tons/year]</t>
  </si>
  <si>
    <t>D Regular Market [tons/year]</t>
  </si>
  <si>
    <t>min expansion qLf [tons/year]</t>
  </si>
  <si>
    <t>min production XLf [tons/year]</t>
  </si>
  <si>
    <t>i/s [tons/year]</t>
  </si>
  <si>
    <t>tons/year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</si>
</sst>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\ _€_-;\-* #,##0.00\ _€_-;_-* &quot;-&quot;??\ _€_-;_-@_-"/>
    <numFmt numFmtId="164" formatCode="0.000"/>
    <numFmt numFmtId="166" formatCode="_-* #,##0\ _€_-;\-* #,##0\ _€_-;_-* &quot;-&quot;??\ _€_-;_-@_-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Symbol"/>
      <family val="1"/>
      <charset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/>
    <xf numFmtId="0" fontId="1" fillId="5" borderId="0" xfId="0" applyFont="1" applyFill="1"/>
    <xf numFmtId="0" fontId="1" fillId="4" borderId="0" xfId="0" applyFont="1" applyFill="1"/>
    <xf numFmtId="0" fontId="0" fillId="5" borderId="0" xfId="0" applyFont="1" applyFill="1"/>
    <xf numFmtId="0" fontId="0" fillId="4" borderId="0" xfId="0" applyFont="1" applyFill="1"/>
    <xf numFmtId="0" fontId="0" fillId="0" borderId="0" xfId="0" applyFont="1"/>
    <xf numFmtId="164" fontId="0" fillId="0" borderId="1" xfId="0" applyNumberFormat="1" applyBorder="1"/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  <xf numFmtId="1" fontId="0" fillId="2" borderId="1" xfId="0" applyNumberFormat="1" applyFill="1" applyBorder="1"/>
    <xf numFmtId="1" fontId="0" fillId="0" borderId="1" xfId="0" applyNumberFormat="1" applyBorder="1"/>
    <xf numFmtId="0" fontId="3" fillId="0" borderId="0" xfId="0" applyFont="1"/>
    <xf numFmtId="43" fontId="0" fillId="0" borderId="0" xfId="1" applyFont="1"/>
    <xf numFmtId="166" fontId="0" fillId="0" borderId="0" xfId="1" applyNumberFormat="1" applyFont="1"/>
    <xf numFmtId="166" fontId="0" fillId="0" borderId="0" xfId="0" applyNumberFormat="1"/>
    <xf numFmtId="1" fontId="0" fillId="0" borderId="0" xfId="0" applyNumberFormat="1" applyFont="1"/>
  </cellXfs>
  <cellStyles count="2">
    <cellStyle name="Komma" xfId="1" builtinId="3"/>
    <cellStyle name="Standard" xfId="0" builtinId="0"/>
  </cellStyles>
  <dxfs count="7"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518160</xdr:colOff>
      <xdr:row>3</xdr:row>
      <xdr:rowOff>91440</xdr:rowOff>
    </xdr:from>
    <xdr:to>
      <xdr:col>10</xdr:col>
      <xdr:colOff>243840</xdr:colOff>
      <xdr:row>5</xdr:row>
      <xdr:rowOff>0</xdr:rowOff>
    </xdr:to>
    <xdr:sp macro="" textlink="">
      <xdr:nvSpPr>
        <xdr:cNvPr id="2" name="Rechteck 1"/>
        <xdr:cNvSpPr/>
      </xdr:nvSpPr>
      <xdr:spPr>
        <a:xfrm>
          <a:off x="8442960" y="640080"/>
          <a:ext cx="1859280" cy="54864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/>
            <a:t>API</a:t>
          </a:r>
          <a:r>
            <a:rPr lang="de-DE" sz="1100" baseline="0"/>
            <a:t> = Material für das gilt:</a:t>
          </a:r>
        </a:p>
        <a:p>
          <a:pPr algn="l"/>
          <a:r>
            <a:rPr lang="de-DE" sz="1100" baseline="0"/>
            <a:t>OM(g)=IM(f)</a:t>
          </a:r>
          <a:endParaRPr lang="de-DE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701040</xdr:colOff>
      <xdr:row>1</xdr:row>
      <xdr:rowOff>144780</xdr:rowOff>
    </xdr:from>
    <xdr:to>
      <xdr:col>6</xdr:col>
      <xdr:colOff>670560</xdr:colOff>
      <xdr:row>4</xdr:row>
      <xdr:rowOff>45720</xdr:rowOff>
    </xdr:to>
    <xdr:sp macro="" textlink="">
      <xdr:nvSpPr>
        <xdr:cNvPr id="2" name="Rechteck 1"/>
        <xdr:cNvSpPr/>
      </xdr:nvSpPr>
      <xdr:spPr>
        <a:xfrm>
          <a:off x="4968240" y="327660"/>
          <a:ext cx="2346960" cy="44958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/>
            <a:t>Budget constraint aufteilen</a:t>
          </a:r>
          <a:r>
            <a:rPr lang="de-DE" sz="1100" baseline="0"/>
            <a:t> für primary und secondary</a:t>
          </a:r>
          <a:endParaRPr lang="de-DE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/>
  </sheetPr>
  <dimension ref="A1:H13"/>
  <sheetViews>
    <sheetView tabSelected="1" workbookViewId="0">
      <selection activeCell="C14" sqref="C14"/>
    </sheetView>
  </sheetViews>
  <sheetFormatPr baseColWidth="10" defaultRowHeight="14.4" x14ac:dyDescent="0.3"/>
  <cols>
    <col min="1" max="1" width="18.6640625" bestFit="1" customWidth="1"/>
    <col min="2" max="2" width="15.33203125" bestFit="1" customWidth="1"/>
    <col min="8" max="8" width="13.88671875" bestFit="1" customWidth="1"/>
  </cols>
  <sheetData>
    <row r="1" spans="1:8" x14ac:dyDescent="0.3">
      <c r="A1" t="s">
        <v>26</v>
      </c>
      <c r="B1">
        <v>250</v>
      </c>
      <c r="C1" t="s">
        <v>33</v>
      </c>
      <c r="D1" t="s">
        <v>35</v>
      </c>
      <c r="G1" s="16" t="s">
        <v>38</v>
      </c>
    </row>
    <row r="2" spans="1:8" x14ac:dyDescent="0.3">
      <c r="A2" t="s">
        <v>27</v>
      </c>
      <c r="B2">
        <v>0.999</v>
      </c>
      <c r="C2" t="s">
        <v>34</v>
      </c>
      <c r="D2" t="s">
        <v>36</v>
      </c>
    </row>
    <row r="3" spans="1:8" x14ac:dyDescent="0.3">
      <c r="A3" t="s">
        <v>28</v>
      </c>
      <c r="B3">
        <v>250</v>
      </c>
      <c r="C3" t="s">
        <v>33</v>
      </c>
    </row>
    <row r="4" spans="1:8" x14ac:dyDescent="0.3">
      <c r="A4" t="s">
        <v>29</v>
      </c>
      <c r="B4">
        <f>3*4</f>
        <v>12</v>
      </c>
      <c r="C4" t="s">
        <v>33</v>
      </c>
    </row>
    <row r="5" spans="1:8" x14ac:dyDescent="0.3">
      <c r="A5" t="s">
        <v>30</v>
      </c>
      <c r="B5" s="18">
        <v>1000000</v>
      </c>
      <c r="C5" t="s">
        <v>37</v>
      </c>
      <c r="G5" t="s">
        <v>44</v>
      </c>
      <c r="H5" s="19">
        <f>B5*B3+B7</f>
        <v>260000000</v>
      </c>
    </row>
    <row r="6" spans="1:8" x14ac:dyDescent="0.3">
      <c r="A6" t="s">
        <v>30</v>
      </c>
      <c r="B6" s="18">
        <v>500000</v>
      </c>
      <c r="C6" t="s">
        <v>37</v>
      </c>
      <c r="G6" t="s">
        <v>45</v>
      </c>
      <c r="H6" s="19">
        <f>B6*B4+B8</f>
        <v>11000000</v>
      </c>
    </row>
    <row r="7" spans="1:8" x14ac:dyDescent="0.3">
      <c r="A7" t="s">
        <v>31</v>
      </c>
      <c r="B7" s="18">
        <v>10000000</v>
      </c>
      <c r="C7" t="s">
        <v>20</v>
      </c>
    </row>
    <row r="8" spans="1:8" x14ac:dyDescent="0.3">
      <c r="A8" t="s">
        <v>32</v>
      </c>
      <c r="B8" s="18">
        <v>5000000</v>
      </c>
      <c r="C8" t="s">
        <v>20</v>
      </c>
    </row>
    <row r="9" spans="1:8" x14ac:dyDescent="0.3">
      <c r="A9" t="s">
        <v>39</v>
      </c>
      <c r="B9" s="18">
        <v>20000000</v>
      </c>
      <c r="C9" t="s">
        <v>37</v>
      </c>
    </row>
    <row r="10" spans="1:8" x14ac:dyDescent="0.3">
      <c r="A10" t="s">
        <v>40</v>
      </c>
    </row>
    <row r="11" spans="1:8" x14ac:dyDescent="0.3">
      <c r="A11" t="s">
        <v>41</v>
      </c>
    </row>
    <row r="12" spans="1:8" x14ac:dyDescent="0.3">
      <c r="A12" t="s">
        <v>42</v>
      </c>
      <c r="B12">
        <f>200+B10</f>
        <v>200</v>
      </c>
    </row>
    <row r="13" spans="1:8" x14ac:dyDescent="0.3">
      <c r="A13" t="s">
        <v>43</v>
      </c>
      <c r="B13">
        <f>250*300</f>
        <v>75000</v>
      </c>
      <c r="C13" t="s">
        <v>52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E17"/>
  <sheetViews>
    <sheetView topLeftCell="A2" workbookViewId="0">
      <selection activeCell="A8" sqref="A8:A17"/>
    </sheetView>
  </sheetViews>
  <sheetFormatPr baseColWidth="10" defaultRowHeight="14.4" x14ac:dyDescent="0.3"/>
  <cols>
    <col min="1" max="5" width="11.5546875" style="1"/>
  </cols>
  <sheetData>
    <row r="1" spans="1:5" x14ac:dyDescent="0.3">
      <c r="A1" s="1" t="s">
        <v>5</v>
      </c>
      <c r="B1" s="1">
        <v>1</v>
      </c>
      <c r="C1" s="1">
        <v>0</v>
      </c>
      <c r="D1" s="1">
        <v>0</v>
      </c>
      <c r="E1" s="1">
        <v>0</v>
      </c>
    </row>
    <row r="2" spans="1:5" x14ac:dyDescent="0.3">
      <c r="A2" s="1" t="s">
        <v>9</v>
      </c>
      <c r="B2" s="1">
        <v>0</v>
      </c>
      <c r="C2" s="1">
        <v>1</v>
      </c>
      <c r="D2" s="1">
        <v>1</v>
      </c>
      <c r="E2" s="1">
        <v>0</v>
      </c>
    </row>
    <row r="3" spans="1:5" x14ac:dyDescent="0.3">
      <c r="A3" s="1" t="s">
        <v>10</v>
      </c>
      <c r="B3" s="1">
        <v>0</v>
      </c>
      <c r="C3" s="1">
        <v>1</v>
      </c>
      <c r="D3" s="1">
        <v>0</v>
      </c>
      <c r="E3" s="1">
        <v>1</v>
      </c>
    </row>
    <row r="5" spans="1:5" x14ac:dyDescent="0.3">
      <c r="A5" s="1" t="s">
        <v>7</v>
      </c>
      <c r="B5" s="1" t="s">
        <v>5</v>
      </c>
      <c r="C5" s="1" t="s">
        <v>8</v>
      </c>
      <c r="D5" s="1" t="s">
        <v>9</v>
      </c>
      <c r="E5" s="1" t="s">
        <v>10</v>
      </c>
    </row>
    <row r="6" spans="1:5" x14ac:dyDescent="0.3">
      <c r="A6" s="1">
        <v>1</v>
      </c>
      <c r="B6" s="1">
        <v>1</v>
      </c>
      <c r="C6" s="1">
        <v>0</v>
      </c>
      <c r="D6" s="1">
        <v>0</v>
      </c>
      <c r="E6" s="1">
        <v>0</v>
      </c>
    </row>
    <row r="7" spans="1:5" x14ac:dyDescent="0.3">
      <c r="A7" s="1">
        <v>2</v>
      </c>
      <c r="B7" s="1">
        <v>1</v>
      </c>
      <c r="C7" s="1">
        <v>0</v>
      </c>
      <c r="D7" s="1">
        <v>0</v>
      </c>
      <c r="E7" s="1">
        <v>0</v>
      </c>
    </row>
    <row r="8" spans="1:5" x14ac:dyDescent="0.3">
      <c r="A8" s="1">
        <v>3</v>
      </c>
      <c r="B8" s="1">
        <v>1</v>
      </c>
      <c r="C8" s="1">
        <v>0</v>
      </c>
      <c r="D8" s="1">
        <v>0</v>
      </c>
      <c r="E8" s="1">
        <v>0</v>
      </c>
    </row>
    <row r="9" spans="1:5" x14ac:dyDescent="0.3">
      <c r="A9" s="1">
        <v>4</v>
      </c>
      <c r="B9" s="1">
        <v>1</v>
      </c>
      <c r="C9" s="1">
        <v>0</v>
      </c>
      <c r="D9" s="1">
        <v>0</v>
      </c>
      <c r="E9" s="1">
        <v>0</v>
      </c>
    </row>
    <row r="10" spans="1:5" x14ac:dyDescent="0.3">
      <c r="A10" s="1">
        <v>5</v>
      </c>
      <c r="B10" s="1">
        <v>1</v>
      </c>
      <c r="C10" s="1">
        <v>0</v>
      </c>
      <c r="D10" s="1">
        <v>0</v>
      </c>
      <c r="E10" s="1">
        <v>0</v>
      </c>
    </row>
    <row r="11" spans="1:5" x14ac:dyDescent="0.3">
      <c r="A11" s="1">
        <v>6</v>
      </c>
      <c r="B11" s="1">
        <v>1</v>
      </c>
      <c r="C11" s="1">
        <v>0</v>
      </c>
      <c r="D11" s="1">
        <v>0</v>
      </c>
      <c r="E11" s="1">
        <v>0</v>
      </c>
    </row>
    <row r="12" spans="1:5" x14ac:dyDescent="0.3">
      <c r="A12" s="1">
        <v>7</v>
      </c>
      <c r="B12" s="1">
        <v>1</v>
      </c>
      <c r="C12" s="1">
        <v>0</v>
      </c>
      <c r="D12" s="1">
        <v>0</v>
      </c>
      <c r="E12" s="1">
        <v>0</v>
      </c>
    </row>
    <row r="13" spans="1:5" x14ac:dyDescent="0.3">
      <c r="A13" s="1">
        <v>8</v>
      </c>
      <c r="B13" s="1">
        <v>1</v>
      </c>
      <c r="C13" s="1">
        <v>0</v>
      </c>
      <c r="D13" s="1">
        <v>0</v>
      </c>
      <c r="E13" s="1">
        <v>0</v>
      </c>
    </row>
    <row r="14" spans="1:5" x14ac:dyDescent="0.3">
      <c r="A14" s="1">
        <v>9</v>
      </c>
      <c r="B14" s="1">
        <v>0</v>
      </c>
      <c r="C14" s="1">
        <v>1</v>
      </c>
      <c r="D14" s="1">
        <v>1</v>
      </c>
      <c r="E14" s="1">
        <v>0</v>
      </c>
    </row>
    <row r="15" spans="1:5" x14ac:dyDescent="0.3">
      <c r="A15" s="1">
        <v>10</v>
      </c>
      <c r="B15" s="1">
        <v>0</v>
      </c>
      <c r="C15" s="1">
        <v>1</v>
      </c>
      <c r="D15" s="1">
        <v>1</v>
      </c>
      <c r="E15" s="1">
        <v>0</v>
      </c>
    </row>
    <row r="16" spans="1:5" x14ac:dyDescent="0.3">
      <c r="A16" s="1">
        <v>11</v>
      </c>
      <c r="B16" s="1">
        <v>0</v>
      </c>
      <c r="C16" s="1">
        <v>1</v>
      </c>
      <c r="D16" s="1">
        <v>0</v>
      </c>
      <c r="E16" s="1">
        <v>1</v>
      </c>
    </row>
    <row r="17" spans="1:5" x14ac:dyDescent="0.3">
      <c r="A17" s="1">
        <v>12</v>
      </c>
      <c r="B17" s="1">
        <v>0</v>
      </c>
      <c r="C17" s="1">
        <v>1</v>
      </c>
      <c r="D17" s="1">
        <v>0</v>
      </c>
      <c r="E17" s="1">
        <v>1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E13"/>
  <sheetViews>
    <sheetView workbookViewId="0">
      <selection activeCell="E14" sqref="E14"/>
    </sheetView>
  </sheetViews>
  <sheetFormatPr baseColWidth="10" defaultRowHeight="14.4" x14ac:dyDescent="0.3"/>
  <cols>
    <col min="1" max="1" width="11.5546875" style="5"/>
    <col min="2" max="6" width="11.5546875" style="3"/>
    <col min="7" max="7" width="8" style="3" bestFit="1" customWidth="1"/>
    <col min="8" max="8" width="10.21875" style="3" bestFit="1" customWidth="1"/>
    <col min="9" max="9" width="8.6640625" style="3" bestFit="1" customWidth="1"/>
    <col min="10" max="10" width="15.6640625" style="3" bestFit="1" customWidth="1"/>
    <col min="11" max="16384" width="11.5546875" style="3"/>
  </cols>
  <sheetData>
    <row r="1" spans="1:5" s="5" customFormat="1" x14ac:dyDescent="0.3">
      <c r="A1" s="4" t="s">
        <v>11</v>
      </c>
      <c r="B1" s="4">
        <v>1</v>
      </c>
      <c r="C1" s="4">
        <v>2</v>
      </c>
      <c r="D1" s="4">
        <v>3</v>
      </c>
      <c r="E1" s="4">
        <v>4</v>
      </c>
    </row>
    <row r="2" spans="1:5" x14ac:dyDescent="0.3">
      <c r="A2" s="4">
        <v>1</v>
      </c>
      <c r="B2" s="2">
        <v>1</v>
      </c>
      <c r="C2" s="2">
        <v>0</v>
      </c>
      <c r="D2" s="2">
        <v>0</v>
      </c>
      <c r="E2" s="2">
        <v>0</v>
      </c>
    </row>
    <row r="3" spans="1:5" x14ac:dyDescent="0.3">
      <c r="A3" s="4">
        <v>2</v>
      </c>
      <c r="B3" s="2">
        <v>0</v>
      </c>
      <c r="C3" s="2">
        <v>1</v>
      </c>
      <c r="D3" s="2">
        <v>0</v>
      </c>
      <c r="E3" s="2">
        <v>0</v>
      </c>
    </row>
    <row r="4" spans="1:5" x14ac:dyDescent="0.3">
      <c r="A4" s="4">
        <v>3</v>
      </c>
      <c r="B4" s="2">
        <v>0</v>
      </c>
      <c r="C4" s="2">
        <v>0</v>
      </c>
      <c r="D4" s="2">
        <v>1</v>
      </c>
      <c r="E4" s="2">
        <v>0</v>
      </c>
    </row>
    <row r="5" spans="1:5" x14ac:dyDescent="0.3">
      <c r="A5" s="4">
        <v>4</v>
      </c>
      <c r="B5" s="2">
        <v>0</v>
      </c>
      <c r="C5" s="2">
        <v>0</v>
      </c>
      <c r="D5" s="2">
        <v>0</v>
      </c>
      <c r="E5" s="2">
        <v>1</v>
      </c>
    </row>
    <row r="6" spans="1:5" x14ac:dyDescent="0.3">
      <c r="A6" s="4">
        <v>5</v>
      </c>
      <c r="B6" s="2">
        <v>1</v>
      </c>
      <c r="C6" s="2">
        <v>0</v>
      </c>
      <c r="D6" s="2">
        <v>0</v>
      </c>
      <c r="E6" s="2">
        <v>0</v>
      </c>
    </row>
    <row r="7" spans="1:5" x14ac:dyDescent="0.3">
      <c r="A7" s="4">
        <v>6</v>
      </c>
      <c r="B7" s="2">
        <v>0</v>
      </c>
      <c r="C7" s="2">
        <v>1</v>
      </c>
      <c r="D7" s="2">
        <v>0</v>
      </c>
      <c r="E7" s="2">
        <v>0</v>
      </c>
    </row>
    <row r="8" spans="1:5" x14ac:dyDescent="0.3">
      <c r="A8" s="4">
        <v>7</v>
      </c>
      <c r="B8" s="2">
        <v>0</v>
      </c>
      <c r="C8" s="2">
        <v>0</v>
      </c>
      <c r="D8" s="2">
        <v>1</v>
      </c>
      <c r="E8" s="2">
        <v>0</v>
      </c>
    </row>
    <row r="9" spans="1:5" x14ac:dyDescent="0.3">
      <c r="A9" s="4">
        <v>8</v>
      </c>
      <c r="B9" s="2">
        <v>0</v>
      </c>
      <c r="C9" s="2">
        <v>0</v>
      </c>
      <c r="D9" s="2">
        <v>0</v>
      </c>
      <c r="E9" s="2">
        <v>1</v>
      </c>
    </row>
    <row r="10" spans="1:5" x14ac:dyDescent="0.3">
      <c r="A10" s="4">
        <v>9</v>
      </c>
      <c r="B10" s="2">
        <v>1</v>
      </c>
      <c r="C10" s="2">
        <v>0</v>
      </c>
      <c r="D10" s="2">
        <v>0</v>
      </c>
      <c r="E10" s="2">
        <v>0</v>
      </c>
    </row>
    <row r="11" spans="1:5" x14ac:dyDescent="0.3">
      <c r="A11" s="4">
        <v>10</v>
      </c>
      <c r="B11" s="2">
        <v>0</v>
      </c>
      <c r="C11" s="2">
        <v>0</v>
      </c>
      <c r="D11" s="2">
        <v>0</v>
      </c>
      <c r="E11" s="2">
        <v>1</v>
      </c>
    </row>
    <row r="12" spans="1:5" x14ac:dyDescent="0.3">
      <c r="A12" s="4">
        <v>11</v>
      </c>
      <c r="B12" s="2">
        <v>0</v>
      </c>
      <c r="C12" s="2">
        <v>0</v>
      </c>
      <c r="D12" s="2">
        <v>1</v>
      </c>
      <c r="E12" s="2">
        <v>0</v>
      </c>
    </row>
    <row r="13" spans="1:5" x14ac:dyDescent="0.3">
      <c r="A13" s="4">
        <v>12</v>
      </c>
      <c r="B13" s="2">
        <v>0</v>
      </c>
      <c r="C13" s="2">
        <v>1</v>
      </c>
      <c r="D13" s="2">
        <v>0</v>
      </c>
      <c r="E13" s="2">
        <v>0</v>
      </c>
    </row>
  </sheetData>
  <conditionalFormatting sqref="B2:E13">
    <cfRule type="cellIs" dxfId="3" priority="1" operator="equal">
      <formula>1</formula>
    </cfRule>
  </conditionalFormatting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H13"/>
  <sheetViews>
    <sheetView workbookViewId="0">
      <selection activeCell="A4" sqref="A4:A13"/>
    </sheetView>
  </sheetViews>
  <sheetFormatPr baseColWidth="10" defaultRowHeight="14.4" x14ac:dyDescent="0.3"/>
  <cols>
    <col min="1" max="1" width="11.5546875" style="5"/>
    <col min="2" max="9" width="11.5546875" style="3"/>
    <col min="10" max="10" width="8" style="3" bestFit="1" customWidth="1"/>
    <col min="11" max="11" width="10.21875" style="3" bestFit="1" customWidth="1"/>
    <col min="12" max="12" width="8.6640625" style="3" bestFit="1" customWidth="1"/>
    <col min="13" max="13" width="15.6640625" style="3" bestFit="1" customWidth="1"/>
    <col min="14" max="16384" width="11.5546875" style="3"/>
  </cols>
  <sheetData>
    <row r="1" spans="1:8" s="5" customFormat="1" x14ac:dyDescent="0.3">
      <c r="A1" s="4" t="s">
        <v>12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/>
      <c r="H1" s="4"/>
    </row>
    <row r="2" spans="1:8" x14ac:dyDescent="0.3">
      <c r="A2" s="4">
        <v>1</v>
      </c>
      <c r="B2" s="2">
        <v>1</v>
      </c>
      <c r="C2" s="2">
        <v>1</v>
      </c>
      <c r="D2" s="2">
        <v>0</v>
      </c>
      <c r="E2" s="2">
        <v>0</v>
      </c>
      <c r="F2" s="2">
        <v>0</v>
      </c>
      <c r="G2" s="2"/>
      <c r="H2" s="2"/>
    </row>
    <row r="3" spans="1:8" x14ac:dyDescent="0.3">
      <c r="A3" s="4">
        <v>2</v>
      </c>
      <c r="B3" s="2">
        <v>1</v>
      </c>
      <c r="C3" s="2">
        <v>1</v>
      </c>
      <c r="D3" s="2">
        <v>0</v>
      </c>
      <c r="E3" s="2">
        <v>0</v>
      </c>
      <c r="F3" s="2">
        <v>0</v>
      </c>
      <c r="G3" s="2"/>
      <c r="H3" s="2"/>
    </row>
    <row r="4" spans="1:8" x14ac:dyDescent="0.3">
      <c r="A4" s="4">
        <v>3</v>
      </c>
      <c r="B4" s="2">
        <v>1</v>
      </c>
      <c r="C4" s="2">
        <v>1</v>
      </c>
      <c r="D4" s="2">
        <v>0</v>
      </c>
      <c r="E4" s="2">
        <v>0</v>
      </c>
      <c r="F4" s="2">
        <v>0</v>
      </c>
      <c r="G4" s="2"/>
      <c r="H4" s="2"/>
    </row>
    <row r="5" spans="1:8" x14ac:dyDescent="0.3">
      <c r="A5" s="4">
        <v>4</v>
      </c>
      <c r="B5" s="2">
        <v>1</v>
      </c>
      <c r="C5" s="2">
        <v>1</v>
      </c>
      <c r="D5" s="2">
        <v>0</v>
      </c>
      <c r="E5" s="2">
        <v>0</v>
      </c>
      <c r="F5" s="2">
        <v>0</v>
      </c>
      <c r="G5" s="2"/>
      <c r="H5" s="2"/>
    </row>
    <row r="6" spans="1:8" x14ac:dyDescent="0.3">
      <c r="A6" s="4">
        <v>5</v>
      </c>
      <c r="B6" s="2">
        <v>0</v>
      </c>
      <c r="C6" s="2">
        <v>0</v>
      </c>
      <c r="D6" s="2">
        <v>1</v>
      </c>
      <c r="E6" s="2">
        <v>1</v>
      </c>
      <c r="F6" s="2">
        <v>0</v>
      </c>
      <c r="G6" s="2"/>
      <c r="H6" s="2"/>
    </row>
    <row r="7" spans="1:8" x14ac:dyDescent="0.3">
      <c r="A7" s="4">
        <v>6</v>
      </c>
      <c r="B7" s="2">
        <v>0</v>
      </c>
      <c r="C7" s="2">
        <v>0</v>
      </c>
      <c r="D7" s="2">
        <v>1</v>
      </c>
      <c r="E7" s="2">
        <v>1</v>
      </c>
      <c r="F7" s="2">
        <v>0</v>
      </c>
      <c r="G7" s="2"/>
      <c r="H7" s="2"/>
    </row>
    <row r="8" spans="1:8" x14ac:dyDescent="0.3">
      <c r="A8" s="4">
        <v>7</v>
      </c>
      <c r="B8" s="2">
        <v>0</v>
      </c>
      <c r="C8" s="2">
        <v>0</v>
      </c>
      <c r="D8" s="2">
        <v>1</v>
      </c>
      <c r="E8" s="2">
        <v>1</v>
      </c>
      <c r="F8" s="2">
        <v>0</v>
      </c>
      <c r="G8" s="2"/>
      <c r="H8" s="2"/>
    </row>
    <row r="9" spans="1:8" x14ac:dyDescent="0.3">
      <c r="A9" s="4">
        <v>8</v>
      </c>
      <c r="B9" s="2">
        <v>0</v>
      </c>
      <c r="C9" s="2">
        <v>0</v>
      </c>
      <c r="D9" s="2">
        <v>1</v>
      </c>
      <c r="E9" s="2">
        <v>1</v>
      </c>
      <c r="F9" s="2">
        <v>0</v>
      </c>
      <c r="G9" s="2"/>
      <c r="H9" s="2"/>
    </row>
    <row r="10" spans="1:8" x14ac:dyDescent="0.3">
      <c r="A10" s="4">
        <v>9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/>
      <c r="H10" s="2"/>
    </row>
    <row r="11" spans="1:8" x14ac:dyDescent="0.3">
      <c r="A11" s="4">
        <v>10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/>
      <c r="H11" s="2"/>
    </row>
    <row r="12" spans="1:8" x14ac:dyDescent="0.3">
      <c r="A12" s="4">
        <v>11</v>
      </c>
      <c r="B12" s="2">
        <v>0</v>
      </c>
      <c r="C12" s="2">
        <v>0</v>
      </c>
      <c r="D12" s="2">
        <v>0</v>
      </c>
      <c r="E12" s="2">
        <v>0</v>
      </c>
      <c r="F12" s="2">
        <v>1</v>
      </c>
      <c r="G12" s="2"/>
      <c r="H12" s="2"/>
    </row>
    <row r="13" spans="1:8" x14ac:dyDescent="0.3">
      <c r="A13" s="4">
        <v>12</v>
      </c>
      <c r="B13" s="2">
        <v>0</v>
      </c>
      <c r="C13" s="2">
        <v>0</v>
      </c>
      <c r="D13" s="2">
        <v>0</v>
      </c>
      <c r="E13" s="2">
        <v>0</v>
      </c>
      <c r="F13" s="2">
        <v>1</v>
      </c>
      <c r="G13" s="2"/>
      <c r="H13" s="2"/>
    </row>
  </sheetData>
  <conditionalFormatting sqref="B2:H13">
    <cfRule type="cellIs" dxfId="2" priority="1" operator="equal">
      <formula>1</formula>
    </cfRule>
  </conditionalFormatting>
  <pageMargins left="0.7" right="0.7" top="0.78740157499999996" bottom="0.78740157499999996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H13"/>
  <sheetViews>
    <sheetView workbookViewId="0">
      <selection activeCell="A2" sqref="A2:A13"/>
    </sheetView>
  </sheetViews>
  <sheetFormatPr baseColWidth="10" defaultRowHeight="14.4" x14ac:dyDescent="0.3"/>
  <cols>
    <col min="1" max="1" width="11.5546875" style="5"/>
    <col min="2" max="9" width="11.5546875" style="3"/>
    <col min="10" max="10" width="8" style="3" bestFit="1" customWidth="1"/>
    <col min="11" max="11" width="10.21875" style="3" bestFit="1" customWidth="1"/>
    <col min="12" max="12" width="8.6640625" style="3" bestFit="1" customWidth="1"/>
    <col min="13" max="13" width="15.6640625" style="3" bestFit="1" customWidth="1"/>
    <col min="14" max="16384" width="11.5546875" style="3"/>
  </cols>
  <sheetData>
    <row r="1" spans="1:8" s="5" customFormat="1" x14ac:dyDescent="0.3">
      <c r="A1" s="4" t="s">
        <v>12</v>
      </c>
      <c r="B1" s="4">
        <v>1</v>
      </c>
      <c r="C1" s="4">
        <v>2</v>
      </c>
      <c r="D1" s="4">
        <v>5</v>
      </c>
      <c r="E1" s="4">
        <v>6</v>
      </c>
      <c r="F1" s="4">
        <v>8</v>
      </c>
      <c r="G1" s="4"/>
      <c r="H1" s="4"/>
    </row>
    <row r="2" spans="1:8" x14ac:dyDescent="0.3">
      <c r="A2" s="4">
        <v>1</v>
      </c>
      <c r="B2" s="2">
        <v>0</v>
      </c>
      <c r="C2" s="2">
        <v>0</v>
      </c>
      <c r="D2" s="2">
        <v>1</v>
      </c>
      <c r="E2" s="2">
        <v>0</v>
      </c>
      <c r="F2" s="2">
        <v>0</v>
      </c>
      <c r="G2" s="2"/>
      <c r="H2" s="2"/>
    </row>
    <row r="3" spans="1:8" x14ac:dyDescent="0.3">
      <c r="A3" s="4">
        <v>2</v>
      </c>
      <c r="B3" s="2">
        <v>0</v>
      </c>
      <c r="C3" s="2">
        <v>0</v>
      </c>
      <c r="D3" s="2">
        <v>1</v>
      </c>
      <c r="E3" s="2">
        <v>0</v>
      </c>
      <c r="F3" s="2">
        <v>0</v>
      </c>
      <c r="G3" s="2"/>
      <c r="H3" s="2"/>
    </row>
    <row r="4" spans="1:8" x14ac:dyDescent="0.3">
      <c r="A4" s="4">
        <v>3</v>
      </c>
      <c r="B4" s="2">
        <v>0</v>
      </c>
      <c r="C4" s="2">
        <v>0</v>
      </c>
      <c r="D4" s="2">
        <v>1</v>
      </c>
      <c r="E4" s="2">
        <v>0</v>
      </c>
      <c r="F4" s="2">
        <v>0</v>
      </c>
      <c r="G4" s="2"/>
      <c r="H4" s="2"/>
    </row>
    <row r="5" spans="1:8" x14ac:dyDescent="0.3">
      <c r="A5" s="4">
        <v>4</v>
      </c>
      <c r="B5" s="2">
        <v>0</v>
      </c>
      <c r="C5" s="2">
        <v>0</v>
      </c>
      <c r="D5" s="2">
        <v>1</v>
      </c>
      <c r="E5" s="2">
        <v>0</v>
      </c>
      <c r="F5" s="2">
        <v>0</v>
      </c>
      <c r="G5" s="2"/>
      <c r="H5" s="2"/>
    </row>
    <row r="6" spans="1:8" x14ac:dyDescent="0.3">
      <c r="A6" s="4">
        <v>5</v>
      </c>
      <c r="B6" s="2">
        <v>0</v>
      </c>
      <c r="C6" s="2">
        <v>0</v>
      </c>
      <c r="D6" s="2">
        <v>0</v>
      </c>
      <c r="E6" s="2">
        <v>0</v>
      </c>
      <c r="F6" s="2">
        <v>1</v>
      </c>
      <c r="G6" s="2"/>
      <c r="H6" s="2"/>
    </row>
    <row r="7" spans="1:8" x14ac:dyDescent="0.3">
      <c r="A7" s="4">
        <v>6</v>
      </c>
      <c r="B7" s="2">
        <v>0</v>
      </c>
      <c r="C7" s="2">
        <v>0</v>
      </c>
      <c r="D7" s="2">
        <v>0</v>
      </c>
      <c r="E7" s="2">
        <v>0</v>
      </c>
      <c r="F7" s="2">
        <v>1</v>
      </c>
      <c r="G7" s="2"/>
      <c r="H7" s="2"/>
    </row>
    <row r="8" spans="1:8" x14ac:dyDescent="0.3">
      <c r="A8" s="4">
        <v>7</v>
      </c>
      <c r="B8" s="2">
        <v>0</v>
      </c>
      <c r="C8" s="2">
        <v>0</v>
      </c>
      <c r="D8" s="2">
        <v>0</v>
      </c>
      <c r="E8" s="2">
        <v>0</v>
      </c>
      <c r="F8" s="2">
        <v>1</v>
      </c>
      <c r="G8" s="2"/>
      <c r="H8" s="2"/>
    </row>
    <row r="9" spans="1:8" x14ac:dyDescent="0.3">
      <c r="A9" s="4">
        <v>8</v>
      </c>
      <c r="B9" s="2">
        <v>0</v>
      </c>
      <c r="C9" s="2">
        <v>0</v>
      </c>
      <c r="D9" s="2">
        <v>0</v>
      </c>
      <c r="E9" s="2">
        <v>0</v>
      </c>
      <c r="F9" s="2">
        <v>1</v>
      </c>
      <c r="G9" s="2"/>
      <c r="H9" s="2"/>
    </row>
    <row r="10" spans="1:8" x14ac:dyDescent="0.3">
      <c r="A10" s="4">
        <v>9</v>
      </c>
      <c r="B10" s="2">
        <v>1</v>
      </c>
      <c r="C10" s="2">
        <v>1</v>
      </c>
      <c r="D10" s="2">
        <v>0</v>
      </c>
      <c r="E10" s="2">
        <v>0</v>
      </c>
      <c r="F10" s="2">
        <v>0</v>
      </c>
      <c r="G10" s="2"/>
      <c r="H10" s="2"/>
    </row>
    <row r="11" spans="1:8" x14ac:dyDescent="0.3">
      <c r="A11" s="4">
        <v>10</v>
      </c>
      <c r="B11" s="2">
        <v>1</v>
      </c>
      <c r="C11" s="2">
        <v>1</v>
      </c>
      <c r="D11" s="2">
        <v>0</v>
      </c>
      <c r="E11" s="2">
        <v>0</v>
      </c>
      <c r="F11" s="2">
        <v>0</v>
      </c>
      <c r="G11" s="2"/>
      <c r="H11" s="2"/>
    </row>
    <row r="12" spans="1:8" x14ac:dyDescent="0.3">
      <c r="A12" s="4">
        <v>11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/>
      <c r="H12" s="2"/>
    </row>
    <row r="13" spans="1:8" x14ac:dyDescent="0.3">
      <c r="A13" s="4">
        <v>12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/>
      <c r="H13" s="2"/>
    </row>
  </sheetData>
  <conditionalFormatting sqref="B2:H13">
    <cfRule type="cellIs" dxfId="1" priority="1" operator="equal">
      <formula>1</formula>
    </cfRule>
  </conditionalFormatting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D4"/>
  <sheetViews>
    <sheetView workbookViewId="0">
      <selection activeCell="B5" sqref="B5"/>
    </sheetView>
  </sheetViews>
  <sheetFormatPr baseColWidth="10" defaultRowHeight="14.4" x14ac:dyDescent="0.3"/>
  <cols>
    <col min="1" max="1" width="39.109375" bestFit="1" customWidth="1"/>
    <col min="2" max="2" width="16.44140625" bestFit="1" customWidth="1"/>
  </cols>
  <sheetData>
    <row r="1" spans="1:4" x14ac:dyDescent="0.3">
      <c r="A1" t="s">
        <v>0</v>
      </c>
      <c r="B1">
        <v>300</v>
      </c>
      <c r="C1" t="s">
        <v>15</v>
      </c>
      <c r="D1" s="16" t="s">
        <v>25</v>
      </c>
    </row>
    <row r="2" spans="1:4" x14ac:dyDescent="0.3">
      <c r="A2" t="s">
        <v>13</v>
      </c>
      <c r="B2">
        <v>15</v>
      </c>
      <c r="C2" t="s">
        <v>14</v>
      </c>
    </row>
    <row r="3" spans="1:4" x14ac:dyDescent="0.3">
      <c r="A3" t="s">
        <v>18</v>
      </c>
      <c r="B3" s="17">
        <v>300000000</v>
      </c>
      <c r="C3" t="s">
        <v>20</v>
      </c>
    </row>
    <row r="4" spans="1:4" x14ac:dyDescent="0.3">
      <c r="A4" t="s">
        <v>19</v>
      </c>
      <c r="B4" s="17">
        <v>50000000</v>
      </c>
      <c r="C4" t="s">
        <v>20</v>
      </c>
    </row>
  </sheetData>
  <pageMargins left="0.7" right="0.7" top="0.78740157499999996" bottom="0.78740157499999996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B5"/>
  <sheetViews>
    <sheetView topLeftCell="A5" workbookViewId="0">
      <selection activeCell="F30" sqref="F30:F32"/>
    </sheetView>
  </sheetViews>
  <sheetFormatPr baseColWidth="10" defaultRowHeight="14.4" x14ac:dyDescent="0.3"/>
  <cols>
    <col min="2" max="2" width="15.6640625" bestFit="1" customWidth="1"/>
  </cols>
  <sheetData>
    <row r="1" spans="1:2" x14ac:dyDescent="0.3">
      <c r="A1" t="s">
        <v>1</v>
      </c>
      <c r="B1" t="s">
        <v>3</v>
      </c>
    </row>
    <row r="2" spans="1:2" x14ac:dyDescent="0.3">
      <c r="A2">
        <v>1</v>
      </c>
      <c r="B2">
        <v>0.27</v>
      </c>
    </row>
    <row r="3" spans="1:2" x14ac:dyDescent="0.3">
      <c r="A3">
        <v>2</v>
      </c>
      <c r="B3">
        <v>0.42</v>
      </c>
    </row>
    <row r="4" spans="1:2" x14ac:dyDescent="0.3">
      <c r="A4">
        <v>3</v>
      </c>
      <c r="B4">
        <v>0.15</v>
      </c>
    </row>
    <row r="5" spans="1:2" x14ac:dyDescent="0.3">
      <c r="A5">
        <v>4</v>
      </c>
      <c r="B5">
        <v>0.28000000000000003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H13"/>
  <sheetViews>
    <sheetView workbookViewId="0">
      <selection activeCell="F19" sqref="F19"/>
    </sheetView>
  </sheetViews>
  <sheetFormatPr baseColWidth="10" defaultRowHeight="14.4" x14ac:dyDescent="0.3"/>
  <cols>
    <col min="1" max="1" width="11.5546875" style="5"/>
    <col min="2" max="9" width="11.5546875" style="3"/>
    <col min="10" max="10" width="8" style="3" bestFit="1" customWidth="1"/>
    <col min="11" max="11" width="10.21875" style="3" bestFit="1" customWidth="1"/>
    <col min="12" max="12" width="8.6640625" style="3" bestFit="1" customWidth="1"/>
    <col min="13" max="13" width="15.6640625" style="3" bestFit="1" customWidth="1"/>
    <col min="14" max="16384" width="11.5546875" style="3"/>
  </cols>
  <sheetData>
    <row r="1" spans="1:8" s="5" customFormat="1" x14ac:dyDescent="0.3">
      <c r="A1" s="4" t="s">
        <v>12</v>
      </c>
      <c r="B1" s="4">
        <v>1</v>
      </c>
      <c r="C1" s="4">
        <v>2</v>
      </c>
      <c r="D1" s="4">
        <v>5</v>
      </c>
      <c r="E1" s="4">
        <v>6</v>
      </c>
      <c r="F1" s="4">
        <v>8</v>
      </c>
      <c r="G1" s="4"/>
      <c r="H1" s="4"/>
    </row>
    <row r="2" spans="1:8" x14ac:dyDescent="0.3">
      <c r="A2" s="4">
        <v>1</v>
      </c>
      <c r="B2" s="2">
        <v>0.6</v>
      </c>
      <c r="C2" s="2">
        <v>0.4</v>
      </c>
      <c r="D2" s="2">
        <v>1</v>
      </c>
      <c r="E2" s="2">
        <v>0</v>
      </c>
      <c r="F2" s="2">
        <v>0</v>
      </c>
      <c r="G2" s="2"/>
      <c r="H2" s="2"/>
    </row>
    <row r="3" spans="1:8" x14ac:dyDescent="0.3">
      <c r="A3" s="4">
        <v>2</v>
      </c>
      <c r="B3" s="2">
        <v>0.6</v>
      </c>
      <c r="C3" s="2">
        <v>0.4</v>
      </c>
      <c r="D3" s="2">
        <v>1</v>
      </c>
      <c r="E3" s="2">
        <v>0</v>
      </c>
      <c r="F3" s="2">
        <v>0</v>
      </c>
      <c r="G3" s="2"/>
      <c r="H3" s="2"/>
    </row>
    <row r="4" spans="1:8" x14ac:dyDescent="0.3">
      <c r="A4" s="4">
        <v>3</v>
      </c>
      <c r="B4" s="2">
        <v>0.6</v>
      </c>
      <c r="C4" s="2">
        <v>0.4</v>
      </c>
      <c r="D4" s="2">
        <v>1</v>
      </c>
      <c r="E4" s="2">
        <v>0</v>
      </c>
      <c r="F4" s="2">
        <v>0</v>
      </c>
      <c r="G4" s="2"/>
      <c r="H4" s="2"/>
    </row>
    <row r="5" spans="1:8" x14ac:dyDescent="0.3">
      <c r="A5" s="4">
        <v>4</v>
      </c>
      <c r="B5" s="2">
        <v>0.6</v>
      </c>
      <c r="C5" s="2">
        <v>0.4</v>
      </c>
      <c r="D5" s="2">
        <v>1</v>
      </c>
      <c r="E5" s="2">
        <v>0</v>
      </c>
      <c r="F5" s="2">
        <v>0</v>
      </c>
      <c r="G5" s="2"/>
      <c r="H5" s="2"/>
    </row>
    <row r="6" spans="1:8" x14ac:dyDescent="0.3">
      <c r="A6" s="4">
        <v>5</v>
      </c>
      <c r="B6" s="2">
        <v>0</v>
      </c>
      <c r="C6" s="2">
        <v>0</v>
      </c>
      <c r="D6" s="2">
        <v>0.6</v>
      </c>
      <c r="E6" s="2">
        <v>0.4</v>
      </c>
      <c r="F6" s="2">
        <v>1</v>
      </c>
      <c r="G6" s="2"/>
      <c r="H6" s="2"/>
    </row>
    <row r="7" spans="1:8" x14ac:dyDescent="0.3">
      <c r="A7" s="4">
        <v>6</v>
      </c>
      <c r="B7" s="2">
        <v>0</v>
      </c>
      <c r="C7" s="2">
        <v>0</v>
      </c>
      <c r="D7" s="2">
        <v>0.6</v>
      </c>
      <c r="E7" s="2">
        <v>0.4</v>
      </c>
      <c r="F7" s="2">
        <v>1</v>
      </c>
      <c r="G7" s="2"/>
      <c r="H7" s="2"/>
    </row>
    <row r="8" spans="1:8" x14ac:dyDescent="0.3">
      <c r="A8" s="4">
        <v>7</v>
      </c>
      <c r="B8" s="2">
        <v>0</v>
      </c>
      <c r="C8" s="2">
        <v>0</v>
      </c>
      <c r="D8" s="2">
        <v>0.6</v>
      </c>
      <c r="E8" s="2">
        <v>0.4</v>
      </c>
      <c r="F8" s="2">
        <v>1</v>
      </c>
      <c r="G8" s="2"/>
      <c r="H8" s="2"/>
    </row>
    <row r="9" spans="1:8" x14ac:dyDescent="0.3">
      <c r="A9" s="4">
        <v>8</v>
      </c>
      <c r="B9" s="2">
        <v>0</v>
      </c>
      <c r="C9" s="2">
        <v>0</v>
      </c>
      <c r="D9" s="2">
        <v>0.6</v>
      </c>
      <c r="E9" s="2">
        <v>0.4</v>
      </c>
      <c r="F9" s="2">
        <v>1</v>
      </c>
      <c r="G9" s="2"/>
      <c r="H9" s="2"/>
    </row>
    <row r="10" spans="1:8" x14ac:dyDescent="0.3">
      <c r="A10" s="4">
        <v>9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/>
      <c r="H10" s="2"/>
    </row>
    <row r="11" spans="1:8" x14ac:dyDescent="0.3">
      <c r="A11" s="4">
        <v>10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/>
      <c r="H11" s="2"/>
    </row>
    <row r="12" spans="1:8" x14ac:dyDescent="0.3">
      <c r="A12" s="4">
        <v>11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/>
      <c r="H12" s="2"/>
    </row>
    <row r="13" spans="1:8" x14ac:dyDescent="0.3">
      <c r="A13" s="4">
        <v>12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/>
      <c r="H13" s="2"/>
    </row>
  </sheetData>
  <conditionalFormatting sqref="B2:H13">
    <cfRule type="cellIs" dxfId="0" priority="1" operator="greaterThan">
      <formula>0</formula>
    </cfRule>
  </conditionalFormatting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E9"/>
  <sheetViews>
    <sheetView workbookViewId="0">
      <selection activeCell="D2" sqref="D2"/>
    </sheetView>
  </sheetViews>
  <sheetFormatPr baseColWidth="10" defaultRowHeight="14.4" x14ac:dyDescent="0.3"/>
  <cols>
    <col min="1" max="1" width="11.5546875" style="4"/>
    <col min="2" max="2" width="21.77734375" style="2" bestFit="1" customWidth="1"/>
    <col min="3" max="3" width="26" style="2" bestFit="1" customWidth="1"/>
    <col min="4" max="4" width="26.88671875" style="2" bestFit="1" customWidth="1"/>
    <col min="5" max="6" width="11.5546875" style="2"/>
    <col min="7" max="7" width="8" style="2" bestFit="1" customWidth="1"/>
    <col min="8" max="8" width="10.21875" style="2" bestFit="1" customWidth="1"/>
    <col min="9" max="9" width="8.6640625" style="2" bestFit="1" customWidth="1"/>
    <col min="10" max="10" width="15.6640625" style="2" bestFit="1" customWidth="1"/>
    <col min="11" max="11" width="11.5546875" style="2"/>
    <col min="12" max="12" width="14.88671875" style="2" bestFit="1" customWidth="1"/>
    <col min="13" max="13" width="15.44140625" style="2" bestFit="1" customWidth="1"/>
    <col min="14" max="14" width="20.77734375" style="2" bestFit="1" customWidth="1"/>
    <col min="15" max="15" width="11.5546875" style="2"/>
    <col min="16" max="16" width="13.44140625" style="2" bestFit="1" customWidth="1"/>
    <col min="17" max="16384" width="11.5546875" style="2"/>
  </cols>
  <sheetData>
    <row r="1" spans="1:5" s="4" customFormat="1" x14ac:dyDescent="0.3">
      <c r="A1" s="4" t="s">
        <v>6</v>
      </c>
      <c r="B1" s="4" t="s">
        <v>46</v>
      </c>
      <c r="C1" s="4" t="s">
        <v>49</v>
      </c>
      <c r="D1" s="4" t="s">
        <v>50</v>
      </c>
      <c r="E1" s="4" t="s">
        <v>21</v>
      </c>
    </row>
    <row r="2" spans="1:5" x14ac:dyDescent="0.3">
      <c r="A2" s="4">
        <v>1</v>
      </c>
      <c r="B2" s="2">
        <v>75000</v>
      </c>
      <c r="C2" s="2">
        <v>18000</v>
      </c>
      <c r="D2" s="2">
        <v>15000</v>
      </c>
      <c r="E2" s="2">
        <v>1120</v>
      </c>
    </row>
    <row r="3" spans="1:5" x14ac:dyDescent="0.3">
      <c r="A3" s="4">
        <v>2</v>
      </c>
      <c r="B3" s="2">
        <v>90000</v>
      </c>
      <c r="C3" s="2">
        <v>18000</v>
      </c>
      <c r="D3" s="2">
        <v>15000</v>
      </c>
      <c r="E3" s="2">
        <v>1120</v>
      </c>
    </row>
    <row r="4" spans="1:5" x14ac:dyDescent="0.3">
      <c r="A4" s="4">
        <v>3</v>
      </c>
      <c r="B4" s="2">
        <v>84000</v>
      </c>
      <c r="C4" s="2">
        <v>18000</v>
      </c>
      <c r="D4" s="2">
        <v>15000</v>
      </c>
      <c r="E4" s="2">
        <v>1120</v>
      </c>
    </row>
    <row r="5" spans="1:5" x14ac:dyDescent="0.3">
      <c r="A5" s="4">
        <v>4</v>
      </c>
      <c r="B5" s="2">
        <v>96000</v>
      </c>
      <c r="C5" s="2">
        <v>18000</v>
      </c>
      <c r="D5" s="2">
        <v>15000</v>
      </c>
      <c r="E5" s="2">
        <v>1120</v>
      </c>
    </row>
    <row r="6" spans="1:5" x14ac:dyDescent="0.3">
      <c r="A6" s="4">
        <v>5</v>
      </c>
      <c r="B6" s="2">
        <v>24000</v>
      </c>
      <c r="C6" s="2">
        <v>6000</v>
      </c>
      <c r="D6" s="2">
        <v>3000</v>
      </c>
      <c r="E6" s="2">
        <v>930</v>
      </c>
    </row>
    <row r="7" spans="1:5" x14ac:dyDescent="0.3">
      <c r="A7" s="4">
        <v>6</v>
      </c>
      <c r="B7" s="2">
        <v>27000</v>
      </c>
      <c r="C7" s="2">
        <v>6000</v>
      </c>
      <c r="D7" s="2">
        <v>3000</v>
      </c>
      <c r="E7" s="2">
        <v>930</v>
      </c>
    </row>
    <row r="8" spans="1:5" x14ac:dyDescent="0.3">
      <c r="A8" s="4">
        <v>7</v>
      </c>
      <c r="B8" s="2">
        <v>21000</v>
      </c>
      <c r="C8" s="2">
        <v>6000</v>
      </c>
      <c r="D8" s="2">
        <v>3000</v>
      </c>
      <c r="E8" s="2">
        <v>930</v>
      </c>
    </row>
    <row r="9" spans="1:5" x14ac:dyDescent="0.3">
      <c r="A9" s="4">
        <v>8</v>
      </c>
      <c r="B9" s="2">
        <v>27000</v>
      </c>
      <c r="C9" s="2">
        <v>6000</v>
      </c>
      <c r="D9" s="2">
        <v>3000</v>
      </c>
      <c r="E9" s="2">
        <v>930</v>
      </c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E6"/>
  <sheetViews>
    <sheetView workbookViewId="0">
      <selection activeCell="D3" sqref="D3"/>
    </sheetView>
  </sheetViews>
  <sheetFormatPr baseColWidth="10" defaultRowHeight="14.4" x14ac:dyDescent="0.3"/>
  <cols>
    <col min="1" max="1" width="11.5546875" style="10"/>
    <col min="2" max="2" width="14.33203125" style="10" bestFit="1" customWidth="1"/>
    <col min="3" max="3" width="21" style="10" bestFit="1" customWidth="1"/>
    <col min="4" max="4" width="25.21875" style="10" bestFit="1" customWidth="1"/>
    <col min="5" max="5" width="23.77734375" style="10" bestFit="1" customWidth="1"/>
    <col min="6" max="16384" width="11.5546875" style="10"/>
  </cols>
  <sheetData>
    <row r="1" spans="1:5" s="8" customFormat="1" x14ac:dyDescent="0.3">
      <c r="A1" s="6" t="s">
        <v>4</v>
      </c>
      <c r="B1" s="6"/>
      <c r="C1" s="6">
        <f>250*300</f>
        <v>75000</v>
      </c>
      <c r="D1" s="6">
        <f>SUM(D3:D6)</f>
        <v>36000</v>
      </c>
      <c r="E1" s="6"/>
    </row>
    <row r="2" spans="1:5" s="9" customFormat="1" x14ac:dyDescent="0.3">
      <c r="A2" s="7" t="s">
        <v>2</v>
      </c>
      <c r="B2" s="7" t="s">
        <v>22</v>
      </c>
      <c r="C2" s="7" t="s">
        <v>47</v>
      </c>
      <c r="D2" s="7" t="s">
        <v>48</v>
      </c>
      <c r="E2" s="7" t="s">
        <v>16</v>
      </c>
    </row>
    <row r="3" spans="1:5" x14ac:dyDescent="0.3">
      <c r="A3" s="7">
        <v>1</v>
      </c>
      <c r="B3" s="10">
        <v>0.3</v>
      </c>
      <c r="C3" s="10">
        <f>B3*$C$1</f>
        <v>22500</v>
      </c>
      <c r="D3" s="20">
        <f>C3*E3</f>
        <v>15749.999999999998</v>
      </c>
      <c r="E3" s="10">
        <v>0.7</v>
      </c>
    </row>
    <row r="4" spans="1:5" x14ac:dyDescent="0.3">
      <c r="A4" s="7">
        <v>2</v>
      </c>
      <c r="B4" s="10">
        <v>0.2</v>
      </c>
      <c r="C4" s="10">
        <f t="shared" ref="C4:C6" si="0">B4*$C$1</f>
        <v>15000</v>
      </c>
      <c r="D4" s="20">
        <f t="shared" ref="D4:D6" si="1">C4*E4</f>
        <v>4500</v>
      </c>
      <c r="E4" s="10">
        <v>0.3</v>
      </c>
    </row>
    <row r="5" spans="1:5" x14ac:dyDescent="0.3">
      <c r="A5" s="7">
        <v>3</v>
      </c>
      <c r="B5" s="10">
        <v>0.4</v>
      </c>
      <c r="C5" s="10">
        <f t="shared" si="0"/>
        <v>30000</v>
      </c>
      <c r="D5" s="20">
        <f t="shared" si="1"/>
        <v>12000</v>
      </c>
      <c r="E5" s="10">
        <v>0.4</v>
      </c>
    </row>
    <row r="6" spans="1:5" x14ac:dyDescent="0.3">
      <c r="A6" s="7">
        <v>4</v>
      </c>
      <c r="B6" s="10">
        <v>0.1</v>
      </c>
      <c r="C6" s="10">
        <f t="shared" si="0"/>
        <v>7500</v>
      </c>
      <c r="D6" s="20">
        <f t="shared" si="1"/>
        <v>3750</v>
      </c>
      <c r="E6" s="10">
        <v>0.5</v>
      </c>
    </row>
  </sheetData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F4"/>
  <sheetViews>
    <sheetView workbookViewId="0">
      <selection activeCell="I22" sqref="I22"/>
    </sheetView>
  </sheetViews>
  <sheetFormatPr baseColWidth="10" defaultRowHeight="14.4" x14ac:dyDescent="0.3"/>
  <cols>
    <col min="1" max="1" width="12.5546875" bestFit="1" customWidth="1"/>
  </cols>
  <sheetData>
    <row r="1" spans="1:6" x14ac:dyDescent="0.3">
      <c r="A1" s="13" t="s">
        <v>51</v>
      </c>
      <c r="B1" s="13">
        <v>21</v>
      </c>
      <c r="C1" s="13">
        <v>22</v>
      </c>
      <c r="D1" s="13">
        <v>23</v>
      </c>
      <c r="E1" s="13">
        <v>24</v>
      </c>
      <c r="F1" s="13">
        <v>25</v>
      </c>
    </row>
    <row r="2" spans="1:6" x14ac:dyDescent="0.3">
      <c r="A2" s="13">
        <v>1</v>
      </c>
      <c r="B2" s="2">
        <v>60000</v>
      </c>
      <c r="C2" s="2">
        <v>33000</v>
      </c>
      <c r="D2" s="2">
        <v>24000</v>
      </c>
      <c r="E2" s="2">
        <v>18000</v>
      </c>
      <c r="F2" s="2">
        <v>51000</v>
      </c>
    </row>
    <row r="3" spans="1:6" x14ac:dyDescent="0.3">
      <c r="A3" s="13">
        <v>2</v>
      </c>
      <c r="B3" s="2">
        <v>45000</v>
      </c>
      <c r="C3" s="2">
        <v>30000</v>
      </c>
      <c r="D3" s="2">
        <v>36000</v>
      </c>
      <c r="E3" s="2">
        <v>24000</v>
      </c>
      <c r="F3" s="2">
        <v>45000</v>
      </c>
    </row>
    <row r="4" spans="1:6" x14ac:dyDescent="0.3">
      <c r="A4" s="13">
        <v>6</v>
      </c>
      <c r="B4" s="2">
        <v>21000</v>
      </c>
      <c r="C4" s="2">
        <v>51000</v>
      </c>
      <c r="D4" s="2">
        <v>45000</v>
      </c>
      <c r="E4" s="2">
        <v>33000</v>
      </c>
      <c r="F4" s="2">
        <v>24000</v>
      </c>
    </row>
  </sheetData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H13"/>
  <sheetViews>
    <sheetView workbookViewId="0">
      <selection activeCell="D21" sqref="D21"/>
    </sheetView>
  </sheetViews>
  <sheetFormatPr baseColWidth="10" defaultRowHeight="14.4" x14ac:dyDescent="0.3"/>
  <cols>
    <col min="1" max="1" width="10.77734375" style="4" customWidth="1"/>
    <col min="2" max="14" width="10.77734375" style="2" customWidth="1"/>
    <col min="15" max="15" width="20.77734375" style="2" bestFit="1" customWidth="1"/>
    <col min="16" max="16" width="11.5546875" style="2"/>
    <col min="17" max="17" width="13.44140625" style="2" bestFit="1" customWidth="1"/>
    <col min="18" max="16384" width="11.5546875" style="2"/>
  </cols>
  <sheetData>
    <row r="1" spans="1:8" s="4" customFormat="1" x14ac:dyDescent="0.3">
      <c r="A1" s="4" t="s">
        <v>23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</row>
    <row r="2" spans="1:8" x14ac:dyDescent="0.3">
      <c r="A2" s="4">
        <v>1</v>
      </c>
      <c r="F2" s="2">
        <v>440</v>
      </c>
    </row>
    <row r="3" spans="1:8" x14ac:dyDescent="0.3">
      <c r="A3" s="4">
        <v>2</v>
      </c>
      <c r="F3" s="2">
        <v>440</v>
      </c>
    </row>
    <row r="4" spans="1:8" x14ac:dyDescent="0.3">
      <c r="A4" s="4">
        <v>3</v>
      </c>
      <c r="F4" s="2">
        <v>440</v>
      </c>
    </row>
    <row r="5" spans="1:8" x14ac:dyDescent="0.3">
      <c r="A5" s="4">
        <v>4</v>
      </c>
      <c r="F5" s="2">
        <v>440</v>
      </c>
    </row>
    <row r="6" spans="1:8" x14ac:dyDescent="0.3">
      <c r="A6" s="4">
        <v>5</v>
      </c>
    </row>
    <row r="7" spans="1:8" x14ac:dyDescent="0.3">
      <c r="A7" s="4">
        <v>6</v>
      </c>
    </row>
    <row r="8" spans="1:8" x14ac:dyDescent="0.3">
      <c r="A8" s="4">
        <v>7</v>
      </c>
    </row>
    <row r="9" spans="1:8" x14ac:dyDescent="0.3">
      <c r="A9" s="4">
        <v>8</v>
      </c>
    </row>
    <row r="10" spans="1:8" x14ac:dyDescent="0.3">
      <c r="A10" s="4">
        <v>9</v>
      </c>
      <c r="B10" s="2">
        <v>510</v>
      </c>
      <c r="C10" s="2">
        <v>2280</v>
      </c>
      <c r="D10" s="2">
        <v>1410</v>
      </c>
      <c r="E10" s="2">
        <v>1550</v>
      </c>
      <c r="G10" s="2">
        <v>780</v>
      </c>
      <c r="H10" s="2">
        <v>990</v>
      </c>
    </row>
    <row r="11" spans="1:8" x14ac:dyDescent="0.3">
      <c r="A11" s="4">
        <v>10</v>
      </c>
      <c r="B11" s="2">
        <v>1780</v>
      </c>
      <c r="C11" s="2">
        <v>1170</v>
      </c>
      <c r="D11" s="2">
        <v>750</v>
      </c>
      <c r="E11" s="2">
        <v>1210</v>
      </c>
      <c r="G11" s="2">
        <v>1580</v>
      </c>
      <c r="H11" s="2">
        <v>1410</v>
      </c>
    </row>
    <row r="12" spans="1:8" x14ac:dyDescent="0.3">
      <c r="A12" s="4">
        <v>11</v>
      </c>
    </row>
    <row r="13" spans="1:8" x14ac:dyDescent="0.3">
      <c r="A13" s="4">
        <v>12</v>
      </c>
    </row>
  </sheetData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K9"/>
  <sheetViews>
    <sheetView workbookViewId="0">
      <selection activeCell="N22" sqref="N22"/>
    </sheetView>
  </sheetViews>
  <sheetFormatPr baseColWidth="10" defaultRowHeight="14.4" x14ac:dyDescent="0.3"/>
  <cols>
    <col min="1" max="1" width="9.88671875" style="3" bestFit="1" customWidth="1"/>
    <col min="2" max="5" width="8.77734375" style="3" customWidth="1"/>
    <col min="6" max="16384" width="11.5546875" style="3"/>
  </cols>
  <sheetData>
    <row r="1" spans="1:11" x14ac:dyDescent="0.3">
      <c r="A1" s="12" t="s">
        <v>24</v>
      </c>
      <c r="B1" s="12">
        <v>1</v>
      </c>
      <c r="C1" s="12">
        <v>2</v>
      </c>
      <c r="D1" s="12">
        <v>3</v>
      </c>
      <c r="E1" s="12">
        <v>4</v>
      </c>
    </row>
    <row r="2" spans="1:11" x14ac:dyDescent="0.3">
      <c r="A2" s="12">
        <v>9</v>
      </c>
      <c r="B2" s="14">
        <v>15</v>
      </c>
      <c r="C2" s="15">
        <v>39</v>
      </c>
      <c r="D2" s="15">
        <v>39</v>
      </c>
      <c r="E2" s="15">
        <v>41</v>
      </c>
      <c r="H2" s="2"/>
      <c r="I2" s="2"/>
      <c r="J2" s="2"/>
      <c r="K2" s="2"/>
    </row>
    <row r="3" spans="1:11" x14ac:dyDescent="0.3">
      <c r="A3" s="12">
        <v>10</v>
      </c>
      <c r="B3" s="15">
        <v>32</v>
      </c>
      <c r="C3" s="15">
        <v>45</v>
      </c>
      <c r="D3" s="15">
        <v>55</v>
      </c>
      <c r="E3" s="14">
        <v>13</v>
      </c>
      <c r="H3" s="2"/>
      <c r="I3" s="2"/>
      <c r="J3" s="2"/>
      <c r="K3" s="2"/>
    </row>
    <row r="4" spans="1:11" x14ac:dyDescent="0.3">
      <c r="H4" s="2"/>
      <c r="I4" s="2"/>
      <c r="J4" s="2"/>
      <c r="K4" s="2"/>
    </row>
    <row r="5" spans="1:11" x14ac:dyDescent="0.3">
      <c r="B5" s="11"/>
      <c r="C5" s="11"/>
      <c r="E5" s="11"/>
      <c r="H5" s="2"/>
      <c r="I5" s="2"/>
      <c r="J5" s="2"/>
      <c r="K5" s="2"/>
    </row>
    <row r="6" spans="1:11" x14ac:dyDescent="0.3">
      <c r="C6" s="11"/>
      <c r="E6" s="11"/>
      <c r="H6" s="2"/>
      <c r="I6" s="2"/>
      <c r="J6" s="2"/>
      <c r="K6" s="2"/>
    </row>
    <row r="7" spans="1:11" x14ac:dyDescent="0.3">
      <c r="C7" s="11"/>
      <c r="E7" s="11"/>
      <c r="H7" s="2"/>
      <c r="I7" s="2"/>
      <c r="J7" s="2"/>
      <c r="K7" s="2"/>
    </row>
    <row r="8" spans="1:11" x14ac:dyDescent="0.3">
      <c r="C8" s="11"/>
      <c r="E8" s="11"/>
      <c r="H8" s="2"/>
      <c r="I8" s="2"/>
      <c r="J8" s="2"/>
      <c r="K8" s="2"/>
    </row>
    <row r="9" spans="1:11" x14ac:dyDescent="0.3">
      <c r="C9" s="11"/>
      <c r="E9" s="11"/>
      <c r="H9" s="2"/>
      <c r="I9" s="2"/>
      <c r="J9" s="2"/>
      <c r="K9" s="2"/>
    </row>
  </sheetData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K9"/>
  <sheetViews>
    <sheetView workbookViewId="0">
      <selection activeCell="F1" sqref="F1:K1048576"/>
    </sheetView>
  </sheetViews>
  <sheetFormatPr baseColWidth="10" defaultRowHeight="14.4" x14ac:dyDescent="0.3"/>
  <cols>
    <col min="1" max="1" width="9.88671875" style="3" bestFit="1" customWidth="1"/>
    <col min="2" max="5" width="8.77734375" style="3" customWidth="1"/>
    <col min="6" max="16384" width="11.5546875" style="3"/>
  </cols>
  <sheetData>
    <row r="1" spans="1:11" x14ac:dyDescent="0.3">
      <c r="A1" s="12" t="s">
        <v>24</v>
      </c>
      <c r="B1" s="12">
        <v>1</v>
      </c>
      <c r="C1" s="12">
        <v>2</v>
      </c>
      <c r="D1" s="12">
        <v>3</v>
      </c>
      <c r="E1" s="12">
        <v>4</v>
      </c>
    </row>
    <row r="2" spans="1:11" x14ac:dyDescent="0.3">
      <c r="A2" s="12">
        <v>9</v>
      </c>
      <c r="B2" s="14">
        <f>1.2*CIF1sf!B2</f>
        <v>18</v>
      </c>
      <c r="C2" s="15">
        <f>1.2*CIF1sf!C2</f>
        <v>46.8</v>
      </c>
      <c r="D2" s="15">
        <f>1.2*CIF1sf!D2</f>
        <v>46.8</v>
      </c>
      <c r="E2" s="15">
        <f>1.2*CIF1sf!E2</f>
        <v>49.199999999999996</v>
      </c>
      <c r="H2" s="2"/>
      <c r="I2" s="2"/>
      <c r="J2" s="2"/>
      <c r="K2" s="2"/>
    </row>
    <row r="3" spans="1:11" x14ac:dyDescent="0.3">
      <c r="A3" s="12">
        <v>10</v>
      </c>
      <c r="B3" s="15">
        <f>1.2*CIF1sf!B3</f>
        <v>38.4</v>
      </c>
      <c r="C3" s="15">
        <f>1.2*CIF1sf!C3</f>
        <v>54</v>
      </c>
      <c r="D3" s="15">
        <f>1.2*CIF1sf!D3</f>
        <v>66</v>
      </c>
      <c r="E3" s="14">
        <f>1.2*CIF1sf!E3</f>
        <v>15.6</v>
      </c>
      <c r="H3" s="2"/>
      <c r="I3" s="2"/>
      <c r="J3" s="2"/>
      <c r="K3" s="2"/>
    </row>
    <row r="4" spans="1:11" x14ac:dyDescent="0.3">
      <c r="H4" s="2"/>
      <c r="I4" s="2"/>
      <c r="J4" s="2"/>
      <c r="K4" s="2"/>
    </row>
    <row r="5" spans="1:11" x14ac:dyDescent="0.3">
      <c r="B5" s="11"/>
      <c r="C5" s="11"/>
      <c r="E5" s="11"/>
      <c r="H5" s="2"/>
      <c r="I5" s="2"/>
      <c r="J5" s="2"/>
      <c r="K5" s="2"/>
    </row>
    <row r="6" spans="1:11" x14ac:dyDescent="0.3">
      <c r="C6" s="11"/>
      <c r="E6" s="11"/>
      <c r="H6" s="2"/>
      <c r="I6" s="2"/>
      <c r="J6" s="2"/>
      <c r="K6" s="2"/>
    </row>
    <row r="7" spans="1:11" x14ac:dyDescent="0.3">
      <c r="C7" s="11"/>
      <c r="E7" s="11"/>
      <c r="H7" s="2"/>
      <c r="I7" s="2"/>
      <c r="J7" s="2"/>
      <c r="K7" s="2"/>
    </row>
    <row r="8" spans="1:11" x14ac:dyDescent="0.3">
      <c r="C8" s="11"/>
      <c r="E8" s="11"/>
      <c r="H8" s="2"/>
      <c r="I8" s="2"/>
      <c r="J8" s="2"/>
      <c r="K8" s="2"/>
    </row>
    <row r="9" spans="1:11" x14ac:dyDescent="0.3">
      <c r="C9" s="11"/>
      <c r="E9" s="11"/>
      <c r="H9" s="2"/>
      <c r="I9" s="2"/>
      <c r="J9" s="2"/>
      <c r="K9" s="2"/>
    </row>
  </sheetData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K8"/>
  <sheetViews>
    <sheetView workbookViewId="0">
      <selection activeCell="F1" sqref="F1:K1048576"/>
    </sheetView>
  </sheetViews>
  <sheetFormatPr baseColWidth="10" defaultRowHeight="14.4" x14ac:dyDescent="0.3"/>
  <cols>
    <col min="1" max="1" width="9.88671875" style="3" bestFit="1" customWidth="1"/>
    <col min="2" max="5" width="8.77734375" style="3" customWidth="1"/>
    <col min="6" max="16384" width="11.5546875" style="3"/>
  </cols>
  <sheetData>
    <row r="1" spans="1:11" x14ac:dyDescent="0.3">
      <c r="A1" s="12" t="s">
        <v>24</v>
      </c>
      <c r="B1" s="12">
        <v>1</v>
      </c>
      <c r="C1" s="12">
        <v>2</v>
      </c>
      <c r="D1" s="12">
        <v>3</v>
      </c>
      <c r="E1" s="12">
        <v>4</v>
      </c>
    </row>
    <row r="2" spans="1:11" x14ac:dyDescent="0.3">
      <c r="A2" s="12">
        <v>9</v>
      </c>
      <c r="B2" s="14">
        <f>0.8*CIF1sf!B2</f>
        <v>12</v>
      </c>
      <c r="C2" s="15">
        <f>0.8*CIF1sf!C2</f>
        <v>31.200000000000003</v>
      </c>
      <c r="D2" s="15">
        <f>0.8*CIF1sf!D2</f>
        <v>31.200000000000003</v>
      </c>
      <c r="E2" s="15">
        <f>0.8*CIF1sf!E2</f>
        <v>32.800000000000004</v>
      </c>
      <c r="H2" s="2"/>
      <c r="I2" s="2"/>
      <c r="J2" s="2"/>
      <c r="K2" s="2"/>
    </row>
    <row r="3" spans="1:11" x14ac:dyDescent="0.3">
      <c r="A3" s="12">
        <v>10</v>
      </c>
      <c r="B3" s="15">
        <f>0.8*CIF1sf!B3</f>
        <v>25.6</v>
      </c>
      <c r="C3" s="15">
        <f>0.8*CIF1sf!C3</f>
        <v>36</v>
      </c>
      <c r="D3" s="15">
        <f>0.8*CIF1sf!D3</f>
        <v>44</v>
      </c>
      <c r="E3" s="14">
        <f>0.8*CIF1sf!E3</f>
        <v>10.4</v>
      </c>
      <c r="H3" s="2"/>
      <c r="I3" s="2"/>
      <c r="J3" s="2"/>
      <c r="K3" s="2"/>
    </row>
    <row r="4" spans="1:11" x14ac:dyDescent="0.3">
      <c r="B4" s="11"/>
      <c r="C4" s="11"/>
      <c r="E4" s="11"/>
      <c r="H4" s="2"/>
      <c r="I4" s="2"/>
      <c r="J4" s="2"/>
      <c r="K4" s="2"/>
    </row>
    <row r="5" spans="1:11" x14ac:dyDescent="0.3">
      <c r="C5" s="11"/>
      <c r="E5" s="11"/>
      <c r="H5" s="2"/>
      <c r="I5" s="2"/>
      <c r="J5" s="2"/>
      <c r="K5" s="2"/>
    </row>
    <row r="6" spans="1:11" x14ac:dyDescent="0.3">
      <c r="C6" s="11"/>
      <c r="E6" s="11"/>
      <c r="H6" s="2"/>
      <c r="I6" s="2"/>
      <c r="J6" s="2"/>
      <c r="K6" s="2"/>
    </row>
    <row r="7" spans="1:11" x14ac:dyDescent="0.3">
      <c r="C7" s="11"/>
      <c r="E7" s="11"/>
      <c r="H7" s="2"/>
      <c r="I7" s="2"/>
      <c r="J7" s="2"/>
      <c r="K7" s="2"/>
    </row>
    <row r="8" spans="1:11" x14ac:dyDescent="0.3">
      <c r="C8" s="11"/>
      <c r="E8" s="11"/>
      <c r="H8" s="2"/>
      <c r="I8" s="2"/>
      <c r="J8" s="2"/>
      <c r="K8" s="2"/>
    </row>
  </sheetData>
  <pageMargins left="0.7" right="0.7" top="0.78740157499999996" bottom="0.78740157499999996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K8"/>
  <sheetViews>
    <sheetView workbookViewId="0">
      <selection activeCell="F1" sqref="F1:K1048576"/>
    </sheetView>
  </sheetViews>
  <sheetFormatPr baseColWidth="10" defaultRowHeight="14.4" x14ac:dyDescent="0.3"/>
  <cols>
    <col min="1" max="1" width="9.88671875" style="3" bestFit="1" customWidth="1"/>
    <col min="2" max="5" width="8.77734375" style="3" customWidth="1"/>
    <col min="6" max="16384" width="11.5546875" style="3"/>
  </cols>
  <sheetData>
    <row r="1" spans="1:11" x14ac:dyDescent="0.3">
      <c r="A1" s="12" t="s">
        <v>24</v>
      </c>
      <c r="B1" s="12">
        <v>1</v>
      </c>
      <c r="C1" s="12">
        <v>2</v>
      </c>
      <c r="D1" s="12">
        <v>3</v>
      </c>
      <c r="E1" s="12">
        <v>4</v>
      </c>
    </row>
    <row r="2" spans="1:11" x14ac:dyDescent="0.3">
      <c r="A2" s="12">
        <v>9</v>
      </c>
      <c r="B2" s="14">
        <f>1.5*CIF1sf!B2</f>
        <v>22.5</v>
      </c>
      <c r="C2" s="15">
        <f>1.5*CIF1sf!C2</f>
        <v>58.5</v>
      </c>
      <c r="D2" s="15">
        <f>1.5*CIF1sf!D2</f>
        <v>58.5</v>
      </c>
      <c r="E2" s="15">
        <f>1.5*CIF1sf!E2</f>
        <v>61.5</v>
      </c>
      <c r="H2" s="2"/>
      <c r="I2" s="2"/>
      <c r="J2" s="2"/>
      <c r="K2" s="2"/>
    </row>
    <row r="3" spans="1:11" x14ac:dyDescent="0.3">
      <c r="A3" s="12">
        <v>10</v>
      </c>
      <c r="B3" s="15">
        <f>1.5*CIF1sf!B3</f>
        <v>48</v>
      </c>
      <c r="C3" s="15">
        <f>1.5*CIF1sf!C3</f>
        <v>67.5</v>
      </c>
      <c r="D3" s="15">
        <f>1.5*CIF1sf!D3</f>
        <v>82.5</v>
      </c>
      <c r="E3" s="14">
        <f>1.5*CIF1sf!E3</f>
        <v>19.5</v>
      </c>
      <c r="H3" s="2"/>
      <c r="I3" s="2"/>
      <c r="J3" s="2"/>
      <c r="K3" s="2"/>
    </row>
    <row r="4" spans="1:11" x14ac:dyDescent="0.3">
      <c r="B4" s="11"/>
      <c r="C4" s="11"/>
      <c r="E4" s="11"/>
      <c r="H4" s="2"/>
      <c r="I4" s="2"/>
      <c r="J4" s="2"/>
      <c r="K4" s="2"/>
    </row>
    <row r="5" spans="1:11" x14ac:dyDescent="0.3">
      <c r="C5" s="11"/>
      <c r="E5" s="11"/>
      <c r="H5" s="2"/>
      <c r="I5" s="2"/>
      <c r="J5" s="2"/>
      <c r="K5" s="2"/>
    </row>
    <row r="6" spans="1:11" x14ac:dyDescent="0.3">
      <c r="C6" s="11"/>
      <c r="E6" s="11"/>
      <c r="H6" s="2"/>
      <c r="I6" s="2"/>
      <c r="J6" s="2"/>
      <c r="K6" s="2"/>
    </row>
    <row r="7" spans="1:11" x14ac:dyDescent="0.3">
      <c r="C7" s="11"/>
      <c r="E7" s="11"/>
      <c r="H7" s="2"/>
      <c r="I7" s="2"/>
      <c r="J7" s="2"/>
      <c r="K7" s="2"/>
    </row>
    <row r="8" spans="1:11" x14ac:dyDescent="0.3">
      <c r="C8" s="11"/>
      <c r="E8" s="11"/>
      <c r="H8" s="2"/>
      <c r="I8" s="2"/>
      <c r="J8" s="2"/>
      <c r="K8" s="2"/>
    </row>
  </sheetData>
  <pageMargins left="0.7" right="0.7" top="0.78740157499999996" bottom="0.78740157499999996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E5"/>
  <sheetViews>
    <sheetView workbookViewId="0">
      <selection activeCell="E2" sqref="E2"/>
    </sheetView>
  </sheetViews>
  <sheetFormatPr baseColWidth="10" defaultRowHeight="14.4" x14ac:dyDescent="0.3"/>
  <cols>
    <col min="1" max="1" width="9.88671875" style="3" bestFit="1" customWidth="1"/>
    <col min="2" max="6" width="8.77734375" style="3" customWidth="1"/>
    <col min="7" max="16384" width="11.5546875" style="3"/>
  </cols>
  <sheetData>
    <row r="1" spans="1:5" x14ac:dyDescent="0.3">
      <c r="A1" s="12" t="s">
        <v>24</v>
      </c>
      <c r="B1" s="12">
        <v>8</v>
      </c>
      <c r="C1" s="12">
        <v>9</v>
      </c>
      <c r="D1" s="12">
        <v>10</v>
      </c>
      <c r="E1" s="12">
        <v>11</v>
      </c>
    </row>
    <row r="2" spans="1:5" x14ac:dyDescent="0.3">
      <c r="A2" s="12">
        <v>1</v>
      </c>
      <c r="B2" s="14">
        <v>0</v>
      </c>
      <c r="C2" s="15">
        <v>13</v>
      </c>
      <c r="D2" s="15">
        <v>23</v>
      </c>
      <c r="E2" s="15">
        <v>37</v>
      </c>
    </row>
    <row r="3" spans="1:5" x14ac:dyDescent="0.3">
      <c r="A3" s="12">
        <v>2</v>
      </c>
      <c r="B3" s="15">
        <v>38</v>
      </c>
      <c r="C3" s="14">
        <v>0</v>
      </c>
      <c r="D3" s="15">
        <v>25</v>
      </c>
      <c r="E3" s="15">
        <v>9</v>
      </c>
    </row>
    <row r="4" spans="1:5" x14ac:dyDescent="0.3">
      <c r="A4" s="12">
        <v>3</v>
      </c>
      <c r="B4" s="15">
        <v>28</v>
      </c>
      <c r="C4" s="15">
        <v>39</v>
      </c>
      <c r="D4" s="14">
        <v>0</v>
      </c>
      <c r="E4" s="15">
        <v>31</v>
      </c>
    </row>
    <row r="5" spans="1:5" x14ac:dyDescent="0.3">
      <c r="A5" s="12">
        <v>4</v>
      </c>
      <c r="B5" s="15">
        <v>25</v>
      </c>
      <c r="C5" s="15">
        <v>23</v>
      </c>
      <c r="D5" s="15">
        <v>27</v>
      </c>
      <c r="E5" s="14">
        <v>0</v>
      </c>
    </row>
  </sheetData>
  <pageMargins left="0.7" right="0.7" top="0.78740157499999996" bottom="0.78740157499999996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K9"/>
  <sheetViews>
    <sheetView workbookViewId="0">
      <selection activeCell="E22" sqref="E22"/>
    </sheetView>
  </sheetViews>
  <sheetFormatPr baseColWidth="10" defaultRowHeight="14.4" x14ac:dyDescent="0.3"/>
  <cols>
    <col min="1" max="1" width="9.88671875" style="3" bestFit="1" customWidth="1"/>
    <col min="2" max="5" width="8.77734375" style="3" customWidth="1"/>
    <col min="6" max="16384" width="11.5546875" style="3"/>
  </cols>
  <sheetData>
    <row r="1" spans="1:11" x14ac:dyDescent="0.3">
      <c r="A1" s="12" t="s">
        <v>24</v>
      </c>
      <c r="B1" s="12">
        <v>1</v>
      </c>
      <c r="C1" s="12">
        <v>2</v>
      </c>
      <c r="D1" s="12">
        <v>3</v>
      </c>
      <c r="E1" s="12">
        <v>4</v>
      </c>
    </row>
    <row r="2" spans="1:11" x14ac:dyDescent="0.3">
      <c r="A2" s="12">
        <v>9</v>
      </c>
      <c r="B2" s="14">
        <f>0.4*CIF1sf!B2</f>
        <v>6</v>
      </c>
      <c r="C2" s="15">
        <f>0.4*CIF1sf!C2</f>
        <v>15.600000000000001</v>
      </c>
      <c r="D2" s="15">
        <f>0.4*CIF1sf!D2</f>
        <v>15.600000000000001</v>
      </c>
      <c r="E2" s="15">
        <f>0.4*CIF1sf!E2</f>
        <v>16.400000000000002</v>
      </c>
      <c r="H2" s="2"/>
      <c r="I2" s="2"/>
      <c r="J2" s="2"/>
      <c r="K2" s="2"/>
    </row>
    <row r="3" spans="1:11" x14ac:dyDescent="0.3">
      <c r="A3" s="12">
        <v>10</v>
      </c>
      <c r="B3" s="15">
        <f>0.4*CIF1sf!B3</f>
        <v>12.8</v>
      </c>
      <c r="C3" s="15">
        <f>0.4*CIF1sf!C3</f>
        <v>18</v>
      </c>
      <c r="D3" s="15">
        <f>0.4*CIF1sf!D3</f>
        <v>22</v>
      </c>
      <c r="E3" s="14">
        <f>0.4*CIF1sf!E3</f>
        <v>5.2</v>
      </c>
      <c r="H3" s="2"/>
      <c r="I3" s="2"/>
      <c r="J3" s="2"/>
      <c r="K3" s="2"/>
    </row>
    <row r="4" spans="1:11" x14ac:dyDescent="0.3">
      <c r="H4" s="2"/>
      <c r="I4" s="2"/>
      <c r="J4" s="2"/>
      <c r="K4" s="2"/>
    </row>
    <row r="5" spans="1:11" x14ac:dyDescent="0.3">
      <c r="B5" s="11"/>
      <c r="C5" s="11"/>
      <c r="E5" s="11"/>
      <c r="H5" s="2"/>
      <c r="I5" s="2"/>
      <c r="J5" s="2"/>
      <c r="K5" s="2"/>
    </row>
    <row r="6" spans="1:11" x14ac:dyDescent="0.3">
      <c r="C6" s="11"/>
      <c r="E6" s="11"/>
      <c r="H6" s="2"/>
      <c r="I6" s="2"/>
      <c r="J6" s="2"/>
      <c r="K6" s="2"/>
    </row>
    <row r="7" spans="1:11" x14ac:dyDescent="0.3">
      <c r="C7" s="11"/>
      <c r="E7" s="11"/>
      <c r="H7" s="2"/>
      <c r="I7" s="2"/>
      <c r="J7" s="2"/>
      <c r="K7" s="2"/>
    </row>
    <row r="8" spans="1:11" x14ac:dyDescent="0.3">
      <c r="C8" s="11"/>
      <c r="E8" s="11"/>
      <c r="H8" s="2"/>
      <c r="I8" s="2"/>
      <c r="J8" s="2"/>
      <c r="K8" s="2"/>
    </row>
    <row r="9" spans="1:11" x14ac:dyDescent="0.3">
      <c r="C9" s="11"/>
      <c r="E9" s="11"/>
      <c r="H9" s="2"/>
      <c r="I9" s="2"/>
      <c r="J9" s="2"/>
      <c r="K9" s="2"/>
    </row>
  </sheetData>
  <pageMargins left="0.7" right="0.7" top="0.78740157499999996" bottom="0.78740157499999996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K9"/>
  <sheetViews>
    <sheetView workbookViewId="0">
      <selection activeCell="A4" sqref="A4"/>
    </sheetView>
  </sheetViews>
  <sheetFormatPr baseColWidth="10" defaultRowHeight="14.4" x14ac:dyDescent="0.3"/>
  <cols>
    <col min="1" max="1" width="9.88671875" style="3" bestFit="1" customWidth="1"/>
    <col min="2" max="5" width="8.77734375" style="3" customWidth="1"/>
    <col min="6" max="16384" width="11.5546875" style="3"/>
  </cols>
  <sheetData>
    <row r="1" spans="1:11" x14ac:dyDescent="0.3">
      <c r="A1" s="12" t="s">
        <v>24</v>
      </c>
      <c r="B1" s="12">
        <v>1</v>
      </c>
      <c r="C1" s="12">
        <v>2</v>
      </c>
      <c r="D1" s="12">
        <v>3</v>
      </c>
      <c r="E1" s="12">
        <v>4</v>
      </c>
    </row>
    <row r="2" spans="1:11" x14ac:dyDescent="0.3">
      <c r="A2" s="12">
        <v>9</v>
      </c>
      <c r="B2" s="14">
        <f>0.8*CIF1sf!B2</f>
        <v>12</v>
      </c>
      <c r="C2" s="15">
        <f>0.8*CIF1sf!C2</f>
        <v>31.200000000000003</v>
      </c>
      <c r="D2" s="15">
        <f>0.8*CIF1sf!D2</f>
        <v>31.200000000000003</v>
      </c>
      <c r="E2" s="15">
        <f>0.8*CIF1sf!E2</f>
        <v>32.800000000000004</v>
      </c>
      <c r="H2" s="2"/>
      <c r="I2" s="2"/>
      <c r="J2" s="2"/>
      <c r="K2" s="2"/>
    </row>
    <row r="3" spans="1:11" x14ac:dyDescent="0.3">
      <c r="A3" s="12">
        <v>10</v>
      </c>
      <c r="B3" s="15">
        <f>0.8*CIF1sf!B3</f>
        <v>25.6</v>
      </c>
      <c r="C3" s="15">
        <f>0.8*CIF1sf!C3</f>
        <v>36</v>
      </c>
      <c r="D3" s="15">
        <f>0.8*CIF1sf!D3</f>
        <v>44</v>
      </c>
      <c r="E3" s="14">
        <f>0.8*CIF1sf!E3</f>
        <v>10.4</v>
      </c>
      <c r="H3" s="2"/>
      <c r="I3" s="2"/>
      <c r="J3" s="2"/>
      <c r="K3" s="2"/>
    </row>
    <row r="4" spans="1:11" x14ac:dyDescent="0.3">
      <c r="H4" s="2"/>
      <c r="I4" s="2"/>
      <c r="J4" s="2"/>
      <c r="K4" s="2"/>
    </row>
    <row r="5" spans="1:11" x14ac:dyDescent="0.3">
      <c r="B5" s="11"/>
      <c r="C5" s="11"/>
      <c r="E5" s="11"/>
      <c r="H5" s="2"/>
      <c r="I5" s="2"/>
      <c r="J5" s="2"/>
      <c r="K5" s="2"/>
    </row>
    <row r="6" spans="1:11" x14ac:dyDescent="0.3">
      <c r="C6" s="11"/>
      <c r="E6" s="11"/>
      <c r="H6" s="2"/>
      <c r="I6" s="2"/>
      <c r="J6" s="2"/>
      <c r="K6" s="2"/>
    </row>
    <row r="7" spans="1:11" x14ac:dyDescent="0.3">
      <c r="C7" s="11"/>
      <c r="E7" s="11"/>
      <c r="H7" s="2"/>
      <c r="I7" s="2"/>
      <c r="J7" s="2"/>
      <c r="K7" s="2"/>
    </row>
    <row r="8" spans="1:11" x14ac:dyDescent="0.3">
      <c r="C8" s="11"/>
      <c r="E8" s="11"/>
      <c r="H8" s="2"/>
      <c r="I8" s="2"/>
      <c r="J8" s="2"/>
      <c r="K8" s="2"/>
    </row>
    <row r="9" spans="1:11" x14ac:dyDescent="0.3">
      <c r="C9" s="11"/>
      <c r="E9" s="11"/>
      <c r="H9" s="2"/>
      <c r="I9" s="2"/>
      <c r="J9" s="2"/>
      <c r="K9" s="2"/>
    </row>
  </sheetData>
  <pageMargins left="0.7" right="0.7" top="0.78740157499999996" bottom="0.78740157499999996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I7"/>
  <sheetViews>
    <sheetView workbookViewId="0">
      <selection activeCell="B30" sqref="B30"/>
    </sheetView>
  </sheetViews>
  <sheetFormatPr baseColWidth="10" defaultRowHeight="14.4" x14ac:dyDescent="0.3"/>
  <cols>
    <col min="1" max="1" width="11.5546875" style="13"/>
    <col min="2" max="9" width="8.77734375" style="2" customWidth="1"/>
    <col min="10" max="16384" width="11.5546875" style="2"/>
  </cols>
  <sheetData>
    <row r="1" spans="1:9" s="13" customFormat="1" x14ac:dyDescent="0.3">
      <c r="A1" s="13" t="s">
        <v>17</v>
      </c>
      <c r="B1" s="13">
        <v>1</v>
      </c>
      <c r="C1" s="13">
        <v>2</v>
      </c>
      <c r="D1" s="13">
        <v>3</v>
      </c>
      <c r="E1" s="13">
        <v>4</v>
      </c>
      <c r="F1" s="13">
        <v>5</v>
      </c>
      <c r="G1" s="13">
        <v>6</v>
      </c>
      <c r="H1" s="13">
        <v>7</v>
      </c>
      <c r="I1" s="13">
        <v>8</v>
      </c>
    </row>
    <row r="2" spans="1:9" x14ac:dyDescent="0.3">
      <c r="A2" s="13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0.15</v>
      </c>
      <c r="H2" s="2">
        <v>0.4</v>
      </c>
      <c r="I2" s="2">
        <v>0.75</v>
      </c>
    </row>
    <row r="3" spans="1:9" x14ac:dyDescent="0.3">
      <c r="A3" s="13">
        <v>2</v>
      </c>
      <c r="B3" s="2">
        <v>0</v>
      </c>
      <c r="C3" s="2">
        <v>0</v>
      </c>
      <c r="D3" s="2">
        <v>0</v>
      </c>
      <c r="E3" s="2">
        <v>0</v>
      </c>
      <c r="F3" s="2">
        <v>0.05</v>
      </c>
      <c r="G3" s="2">
        <v>0</v>
      </c>
      <c r="H3" s="2">
        <v>0.4</v>
      </c>
      <c r="I3" s="2">
        <v>0.75</v>
      </c>
    </row>
    <row r="4" spans="1:9" x14ac:dyDescent="0.3">
      <c r="A4" s="13">
        <v>3</v>
      </c>
      <c r="B4" s="2">
        <v>0</v>
      </c>
      <c r="C4" s="2">
        <v>0</v>
      </c>
      <c r="D4" s="2">
        <v>0</v>
      </c>
      <c r="E4" s="2">
        <v>0</v>
      </c>
      <c r="F4" s="2">
        <v>0.05</v>
      </c>
      <c r="G4" s="2">
        <v>0.15</v>
      </c>
      <c r="H4" s="2">
        <v>0</v>
      </c>
      <c r="I4" s="2">
        <v>0.75</v>
      </c>
    </row>
    <row r="5" spans="1:9" x14ac:dyDescent="0.3">
      <c r="A5" s="13">
        <v>4</v>
      </c>
      <c r="B5" s="2">
        <v>0</v>
      </c>
      <c r="C5" s="2">
        <v>0</v>
      </c>
      <c r="D5" s="2">
        <v>0</v>
      </c>
      <c r="E5" s="2">
        <v>0</v>
      </c>
      <c r="F5" s="2">
        <v>0.05</v>
      </c>
      <c r="G5" s="2">
        <v>0.15</v>
      </c>
      <c r="H5" s="2">
        <v>0.4</v>
      </c>
      <c r="I5" s="2">
        <v>0</v>
      </c>
    </row>
    <row r="6" spans="1:9" x14ac:dyDescent="0.3">
      <c r="A6" s="13">
        <v>9</v>
      </c>
      <c r="B6" s="2">
        <v>0</v>
      </c>
      <c r="C6" s="2">
        <v>0.15</v>
      </c>
      <c r="D6" s="2">
        <v>0.4</v>
      </c>
      <c r="E6" s="2">
        <v>0.75</v>
      </c>
      <c r="F6" s="2">
        <v>0</v>
      </c>
      <c r="G6" s="2">
        <v>0.15</v>
      </c>
      <c r="H6" s="2">
        <v>0.4</v>
      </c>
      <c r="I6" s="2">
        <v>0.75</v>
      </c>
    </row>
    <row r="7" spans="1:9" x14ac:dyDescent="0.3">
      <c r="A7" s="13">
        <v>10</v>
      </c>
      <c r="B7" s="2">
        <v>0.05</v>
      </c>
      <c r="C7" s="2">
        <v>0.15</v>
      </c>
      <c r="D7" s="2">
        <v>0.4</v>
      </c>
      <c r="E7" s="2">
        <v>0</v>
      </c>
      <c r="F7" s="2">
        <v>0.05</v>
      </c>
      <c r="G7" s="2">
        <v>0.15</v>
      </c>
      <c r="H7" s="2">
        <v>0.4</v>
      </c>
      <c r="I7" s="2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20</vt:i4>
      </vt:variant>
    </vt:vector>
  </HeadingPairs>
  <TitlesOfParts>
    <vt:vector size="20" baseType="lpstr">
      <vt:lpstr>DataTiming</vt:lpstr>
      <vt:lpstr>F</vt:lpstr>
      <vt:lpstr>F in N</vt:lpstr>
      <vt:lpstr>IMf</vt:lpstr>
      <vt:lpstr>OMf</vt:lpstr>
      <vt:lpstr>Const.</vt:lpstr>
      <vt:lpstr>TRn</vt:lpstr>
      <vt:lpstr>MassBalance</vt:lpstr>
      <vt:lpstr>DataF</vt:lpstr>
      <vt:lpstr>Dict (i=8)</vt:lpstr>
      <vt:lpstr>Sis</vt:lpstr>
      <vt:lpstr>Pif</vt:lpstr>
      <vt:lpstr>CIF1sf</vt:lpstr>
      <vt:lpstr>CIF2sf</vt:lpstr>
      <vt:lpstr>CIF3sf</vt:lpstr>
      <vt:lpstr>CIF4sf</vt:lpstr>
      <vt:lpstr>CIF5sf</vt:lpstr>
      <vt:lpstr>CIF6sf</vt:lpstr>
      <vt:lpstr>CIF7sf</vt:lpstr>
      <vt:lpstr>IDisf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</dc:creator>
  <cp:lastModifiedBy>Sarah</cp:lastModifiedBy>
  <dcterms:created xsi:type="dcterms:W3CDTF">2017-10-31T13:49:41Z</dcterms:created>
  <dcterms:modified xsi:type="dcterms:W3CDTF">2017-11-02T16:34:11Z</dcterms:modified>
</cp:coreProperties>
</file>