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53222"/>
  <mc:AlternateContent xmlns:mc="http://schemas.openxmlformats.org/markup-compatibility/2006">
    <mc:Choice Requires="x15">
      <x15ac:absPath xmlns:x15ac="http://schemas.microsoft.com/office/spreadsheetml/2010/11/ac" url="C:\Users\Sarah\Documents\GitHub\OSCMSeminarProcessIndustry\Capacity_Planning\lib\"/>
    </mc:Choice>
  </mc:AlternateContent>
  <bookViews>
    <workbookView xWindow="0" yWindow="0" windowWidth="23040" windowHeight="9096" activeTab="1"/>
  </bookViews>
  <sheets>
    <sheet name="Facilities F" sheetId="15" r:id="rId1"/>
    <sheet name="Location F in N" sheetId="4" r:id="rId2"/>
    <sheet name="Capacity" sheetId="1" r:id="rId3"/>
    <sheet name="Purchase Price from Supplier" sheetId="6" r:id="rId4"/>
    <sheet name="CIF from Supplier M1" sheetId="8" r:id="rId5"/>
    <sheet name="CIF from Supplier M2" sheetId="9" r:id="rId6"/>
    <sheet name="CIF from Supplier M3" sheetId="10" r:id="rId7"/>
    <sheet name="CIF from Supplier M4" sheetId="11" r:id="rId8"/>
    <sheet name="CIF from Supplier M6" sheetId="12" r:id="rId9"/>
    <sheet name="CIF from Supplier M7" sheetId="13" r:id="rId10"/>
    <sheet name="CIF between facilities M5" sheetId="14" r:id="rId11"/>
    <sheet name="Demand" sheetId="5" r:id="rId12"/>
    <sheet name="Constant" sheetId="3" r:id="rId13"/>
    <sheet name="Timing Model" sheetId="2" r:id="rId14"/>
  </sheets>
  <calcPr calcId="15251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4" i="5" l="1"/>
  <c r="C5" i="5"/>
  <c r="C6" i="5"/>
  <c r="C7" i="5"/>
  <c r="D7" i="5" s="1"/>
  <c r="C8" i="5"/>
  <c r="C9" i="5"/>
  <c r="C3" i="5"/>
  <c r="D3" i="5" s="1"/>
  <c r="D4" i="5"/>
  <c r="D5" i="5"/>
  <c r="D6" i="5"/>
  <c r="D8" i="5"/>
  <c r="D9" i="5"/>
  <c r="V8" i="13"/>
  <c r="U8" i="13"/>
  <c r="T8" i="13"/>
  <c r="S8" i="13"/>
  <c r="R8" i="13"/>
  <c r="Q8" i="13"/>
  <c r="P8" i="13"/>
  <c r="O8" i="13"/>
  <c r="N8" i="13"/>
  <c r="M8" i="13"/>
  <c r="L8" i="13"/>
  <c r="K8" i="13"/>
  <c r="J8" i="13"/>
  <c r="I8" i="13"/>
  <c r="H8" i="13"/>
  <c r="G8" i="13"/>
  <c r="F8" i="13"/>
  <c r="E8" i="13"/>
  <c r="D8" i="13"/>
  <c r="C8" i="13"/>
  <c r="V7" i="13"/>
  <c r="U7" i="13"/>
  <c r="T7" i="13"/>
  <c r="S7" i="13"/>
  <c r="R7" i="13"/>
  <c r="Q7" i="13"/>
  <c r="P7" i="13"/>
  <c r="O7" i="13"/>
  <c r="N7" i="13"/>
  <c r="M7" i="13"/>
  <c r="L7" i="13"/>
  <c r="K7" i="13"/>
  <c r="J7" i="13"/>
  <c r="I7" i="13"/>
  <c r="H7" i="13"/>
  <c r="G7" i="13"/>
  <c r="F7" i="13"/>
  <c r="E7" i="13"/>
  <c r="D7" i="13"/>
  <c r="C7" i="13"/>
  <c r="V6" i="13"/>
  <c r="U6" i="13"/>
  <c r="T6" i="13"/>
  <c r="S6" i="13"/>
  <c r="R6" i="13"/>
  <c r="Q6" i="13"/>
  <c r="P6" i="13"/>
  <c r="O6" i="13"/>
  <c r="N6" i="13"/>
  <c r="M6" i="13"/>
  <c r="L6" i="13"/>
  <c r="K6" i="13"/>
  <c r="J6" i="13"/>
  <c r="I6" i="13"/>
  <c r="H6" i="13"/>
  <c r="G6" i="13"/>
  <c r="F6" i="13"/>
  <c r="E6" i="13"/>
  <c r="D6" i="13"/>
  <c r="C6" i="13"/>
  <c r="V5" i="13"/>
  <c r="U5" i="13"/>
  <c r="T5" i="13"/>
  <c r="S5" i="13"/>
  <c r="R5" i="13"/>
  <c r="Q5" i="13"/>
  <c r="P5" i="13"/>
  <c r="O5" i="13"/>
  <c r="N5" i="13"/>
  <c r="M5" i="13"/>
  <c r="L5" i="13"/>
  <c r="K5" i="13"/>
  <c r="J5" i="13"/>
  <c r="I5" i="13"/>
  <c r="H5" i="13"/>
  <c r="G5" i="13"/>
  <c r="F5" i="13"/>
  <c r="E5" i="13"/>
  <c r="D5" i="13"/>
  <c r="C5" i="13"/>
  <c r="V4" i="13"/>
  <c r="U4" i="13"/>
  <c r="T4" i="13"/>
  <c r="S4" i="13"/>
  <c r="R4" i="13"/>
  <c r="Q4" i="13"/>
  <c r="P4" i="13"/>
  <c r="O4" i="13"/>
  <c r="N4" i="13"/>
  <c r="M4" i="13"/>
  <c r="L4" i="13"/>
  <c r="K4" i="13"/>
  <c r="J4" i="13"/>
  <c r="I4" i="13"/>
  <c r="H4" i="13"/>
  <c r="G4" i="13"/>
  <c r="F4" i="13"/>
  <c r="E4" i="13"/>
  <c r="D4" i="13"/>
  <c r="C4" i="13"/>
  <c r="V8" i="12"/>
  <c r="U8" i="12"/>
  <c r="T8" i="12"/>
  <c r="S8" i="12"/>
  <c r="R8" i="12"/>
  <c r="Q8" i="12"/>
  <c r="P8" i="12"/>
  <c r="O8" i="12"/>
  <c r="N8" i="12"/>
  <c r="M8" i="12"/>
  <c r="L8" i="12"/>
  <c r="K8" i="12"/>
  <c r="J8" i="12"/>
  <c r="I8" i="12"/>
  <c r="H8" i="12"/>
  <c r="G8" i="12"/>
  <c r="F8" i="12"/>
  <c r="E8" i="12"/>
  <c r="D8" i="12"/>
  <c r="C8" i="12"/>
  <c r="V7" i="12"/>
  <c r="U7" i="12"/>
  <c r="T7" i="12"/>
  <c r="S7" i="12"/>
  <c r="R7" i="12"/>
  <c r="Q7" i="12"/>
  <c r="P7" i="12"/>
  <c r="O7" i="12"/>
  <c r="N7" i="12"/>
  <c r="M7" i="12"/>
  <c r="L7" i="12"/>
  <c r="K7" i="12"/>
  <c r="J7" i="12"/>
  <c r="I7" i="12"/>
  <c r="H7" i="12"/>
  <c r="G7" i="12"/>
  <c r="F7" i="12"/>
  <c r="E7" i="12"/>
  <c r="D7" i="12"/>
  <c r="C7" i="12"/>
  <c r="V6" i="12"/>
  <c r="U6" i="12"/>
  <c r="T6" i="12"/>
  <c r="S6" i="12"/>
  <c r="R6" i="12"/>
  <c r="Q6" i="12"/>
  <c r="P6" i="12"/>
  <c r="O6" i="12"/>
  <c r="N6" i="12"/>
  <c r="M6" i="12"/>
  <c r="L6" i="12"/>
  <c r="K6" i="12"/>
  <c r="J6" i="12"/>
  <c r="I6" i="12"/>
  <c r="H6" i="12"/>
  <c r="G6" i="12"/>
  <c r="F6" i="12"/>
  <c r="E6" i="12"/>
  <c r="D6" i="12"/>
  <c r="C6" i="12"/>
  <c r="V5" i="12"/>
  <c r="U5" i="12"/>
  <c r="T5" i="12"/>
  <c r="S5" i="12"/>
  <c r="R5" i="12"/>
  <c r="Q5" i="12"/>
  <c r="P5" i="12"/>
  <c r="O5" i="12"/>
  <c r="N5" i="12"/>
  <c r="M5" i="12"/>
  <c r="L5" i="12"/>
  <c r="K5" i="12"/>
  <c r="J5" i="12"/>
  <c r="I5" i="12"/>
  <c r="H5" i="12"/>
  <c r="G5" i="12"/>
  <c r="F5" i="12"/>
  <c r="E5" i="12"/>
  <c r="D5" i="12"/>
  <c r="C5" i="12"/>
  <c r="V4" i="12"/>
  <c r="U4" i="12"/>
  <c r="T4" i="12"/>
  <c r="S4" i="12"/>
  <c r="R4" i="12"/>
  <c r="Q4" i="12"/>
  <c r="P4" i="12"/>
  <c r="O4" i="12"/>
  <c r="N4" i="12"/>
  <c r="M4" i="12"/>
  <c r="L4" i="12"/>
  <c r="K4" i="12"/>
  <c r="J4" i="12"/>
  <c r="I4" i="12"/>
  <c r="H4" i="12"/>
  <c r="G4" i="12"/>
  <c r="F4" i="12"/>
  <c r="E4" i="12"/>
  <c r="D4" i="12"/>
  <c r="C4" i="12"/>
  <c r="V8" i="11"/>
  <c r="U8" i="11"/>
  <c r="T8" i="11"/>
  <c r="S8" i="11"/>
  <c r="R8" i="11"/>
  <c r="Q8" i="11"/>
  <c r="P8" i="11"/>
  <c r="O8" i="11"/>
  <c r="N8" i="11"/>
  <c r="M8" i="11"/>
  <c r="L8" i="11"/>
  <c r="K8" i="11"/>
  <c r="J8" i="11"/>
  <c r="I8" i="11"/>
  <c r="H8" i="11"/>
  <c r="G8" i="11"/>
  <c r="F8" i="11"/>
  <c r="E8" i="11"/>
  <c r="D8" i="11"/>
  <c r="C8" i="11"/>
  <c r="V7" i="11"/>
  <c r="U7" i="11"/>
  <c r="T7" i="11"/>
  <c r="S7" i="11"/>
  <c r="R7" i="11"/>
  <c r="Q7" i="11"/>
  <c r="P7" i="11"/>
  <c r="O7" i="11"/>
  <c r="N7" i="11"/>
  <c r="M7" i="11"/>
  <c r="L7" i="11"/>
  <c r="K7" i="11"/>
  <c r="J7" i="11"/>
  <c r="I7" i="11"/>
  <c r="H7" i="11"/>
  <c r="G7" i="11"/>
  <c r="F7" i="11"/>
  <c r="E7" i="11"/>
  <c r="D7" i="11"/>
  <c r="C7" i="11"/>
  <c r="V6" i="11"/>
  <c r="U6" i="11"/>
  <c r="T6" i="11"/>
  <c r="S6" i="11"/>
  <c r="R6" i="11"/>
  <c r="Q6" i="11"/>
  <c r="P6" i="11"/>
  <c r="O6" i="11"/>
  <c r="N6" i="11"/>
  <c r="M6" i="11"/>
  <c r="L6" i="11"/>
  <c r="K6" i="11"/>
  <c r="J6" i="11"/>
  <c r="I6" i="11"/>
  <c r="H6" i="11"/>
  <c r="G6" i="11"/>
  <c r="F6" i="11"/>
  <c r="E6" i="11"/>
  <c r="D6" i="11"/>
  <c r="C6" i="11"/>
  <c r="V5" i="11"/>
  <c r="U5" i="11"/>
  <c r="T5" i="11"/>
  <c r="S5" i="11"/>
  <c r="R5" i="11"/>
  <c r="Q5" i="11"/>
  <c r="P5" i="11"/>
  <c r="O5" i="11"/>
  <c r="N5" i="11"/>
  <c r="M5" i="11"/>
  <c r="L5" i="11"/>
  <c r="K5" i="11"/>
  <c r="J5" i="11"/>
  <c r="I5" i="11"/>
  <c r="H5" i="11"/>
  <c r="G5" i="11"/>
  <c r="F5" i="11"/>
  <c r="E5" i="11"/>
  <c r="D5" i="11"/>
  <c r="C5" i="11"/>
  <c r="V4" i="11"/>
  <c r="U4" i="11"/>
  <c r="T4" i="11"/>
  <c r="S4" i="11"/>
  <c r="R4" i="11"/>
  <c r="Q4" i="11"/>
  <c r="P4" i="11"/>
  <c r="O4" i="11"/>
  <c r="N4" i="11"/>
  <c r="M4" i="11"/>
  <c r="L4" i="11"/>
  <c r="K4" i="11"/>
  <c r="J4" i="11"/>
  <c r="I4" i="11"/>
  <c r="H4" i="11"/>
  <c r="G4" i="11"/>
  <c r="F4" i="11"/>
  <c r="E4" i="11"/>
  <c r="D4" i="11"/>
  <c r="C4" i="11"/>
  <c r="V8" i="10"/>
  <c r="U8" i="10"/>
  <c r="T8" i="10"/>
  <c r="S8" i="10"/>
  <c r="R8" i="10"/>
  <c r="Q8" i="10"/>
  <c r="P8" i="10"/>
  <c r="O8" i="10"/>
  <c r="N8" i="10"/>
  <c r="M8" i="10"/>
  <c r="L8" i="10"/>
  <c r="K8" i="10"/>
  <c r="J8" i="10"/>
  <c r="I8" i="10"/>
  <c r="H8" i="10"/>
  <c r="G8" i="10"/>
  <c r="F8" i="10"/>
  <c r="E8" i="10"/>
  <c r="D8" i="10"/>
  <c r="C8" i="10"/>
  <c r="V7" i="10"/>
  <c r="U7" i="10"/>
  <c r="T7" i="10"/>
  <c r="S7" i="10"/>
  <c r="R7" i="10"/>
  <c r="Q7" i="10"/>
  <c r="P7" i="10"/>
  <c r="O7" i="10"/>
  <c r="N7" i="10"/>
  <c r="M7" i="10"/>
  <c r="L7" i="10"/>
  <c r="K7" i="10"/>
  <c r="J7" i="10"/>
  <c r="I7" i="10"/>
  <c r="H7" i="10"/>
  <c r="G7" i="10"/>
  <c r="F7" i="10"/>
  <c r="E7" i="10"/>
  <c r="D7" i="10"/>
  <c r="C7" i="10"/>
  <c r="V6" i="10"/>
  <c r="U6" i="10"/>
  <c r="T6" i="10"/>
  <c r="S6" i="10"/>
  <c r="R6" i="10"/>
  <c r="Q6" i="10"/>
  <c r="P6" i="10"/>
  <c r="O6" i="10"/>
  <c r="N6" i="10"/>
  <c r="M6" i="10"/>
  <c r="L6" i="10"/>
  <c r="K6" i="10"/>
  <c r="J6" i="10"/>
  <c r="I6" i="10"/>
  <c r="H6" i="10"/>
  <c r="G6" i="10"/>
  <c r="F6" i="10"/>
  <c r="E6" i="10"/>
  <c r="D6" i="10"/>
  <c r="C6" i="10"/>
  <c r="V5" i="10"/>
  <c r="U5" i="10"/>
  <c r="T5" i="10"/>
  <c r="S5" i="10"/>
  <c r="R5" i="10"/>
  <c r="Q5" i="10"/>
  <c r="P5" i="10"/>
  <c r="O5" i="10"/>
  <c r="N5" i="10"/>
  <c r="M5" i="10"/>
  <c r="L5" i="10"/>
  <c r="K5" i="10"/>
  <c r="J5" i="10"/>
  <c r="I5" i="10"/>
  <c r="H5" i="10"/>
  <c r="G5" i="10"/>
  <c r="F5" i="10"/>
  <c r="E5" i="10"/>
  <c r="D5" i="10"/>
  <c r="C5" i="10"/>
  <c r="V4" i="10"/>
  <c r="U4" i="10"/>
  <c r="T4" i="10"/>
  <c r="S4" i="10"/>
  <c r="R4" i="10"/>
  <c r="Q4" i="10"/>
  <c r="P4" i="10"/>
  <c r="O4" i="10"/>
  <c r="N4" i="10"/>
  <c r="M4" i="10"/>
  <c r="L4" i="10"/>
  <c r="K4" i="10"/>
  <c r="J4" i="10"/>
  <c r="I4" i="10"/>
  <c r="H4" i="10"/>
  <c r="G4" i="10"/>
  <c r="F4" i="10"/>
  <c r="E4" i="10"/>
  <c r="D4" i="10"/>
  <c r="C4" i="10"/>
  <c r="D1" i="5" l="1"/>
  <c r="V4" i="9"/>
  <c r="F6" i="8"/>
  <c r="G5" i="8"/>
  <c r="V8" i="9"/>
  <c r="U8" i="9"/>
  <c r="T8" i="9"/>
  <c r="S8" i="9"/>
  <c r="R8" i="9"/>
  <c r="Q8" i="9"/>
  <c r="P8" i="9"/>
  <c r="O8" i="9"/>
  <c r="N8" i="9"/>
  <c r="M8" i="9"/>
  <c r="L8" i="9"/>
  <c r="K8" i="9"/>
  <c r="J8" i="9"/>
  <c r="I8" i="9"/>
  <c r="H8" i="9"/>
  <c r="G8" i="9"/>
  <c r="F8" i="9"/>
  <c r="E8" i="9"/>
  <c r="D8" i="9"/>
  <c r="C8" i="9"/>
  <c r="V7" i="9"/>
  <c r="U7" i="9"/>
  <c r="T7" i="9"/>
  <c r="S7" i="9"/>
  <c r="R7" i="9"/>
  <c r="Q7" i="9"/>
  <c r="P7" i="9"/>
  <c r="O7" i="9"/>
  <c r="N7" i="9"/>
  <c r="M7" i="9"/>
  <c r="L7" i="9"/>
  <c r="K7" i="9"/>
  <c r="J7" i="9"/>
  <c r="I7" i="9"/>
  <c r="H7" i="9"/>
  <c r="G7" i="9"/>
  <c r="F7" i="9"/>
  <c r="E7" i="9"/>
  <c r="D7" i="9"/>
  <c r="C7" i="9"/>
  <c r="V6" i="9"/>
  <c r="U6" i="9"/>
  <c r="T6" i="9"/>
  <c r="S6" i="9"/>
  <c r="R6" i="9"/>
  <c r="Q6" i="9"/>
  <c r="P6" i="9"/>
  <c r="O6" i="9"/>
  <c r="N6" i="9"/>
  <c r="M6" i="9"/>
  <c r="L6" i="9"/>
  <c r="K6" i="9"/>
  <c r="J6" i="9"/>
  <c r="I6" i="9"/>
  <c r="H6" i="9"/>
  <c r="G6" i="9"/>
  <c r="F6" i="9"/>
  <c r="E6" i="9"/>
  <c r="D6" i="9"/>
  <c r="C6" i="9"/>
  <c r="V5" i="9"/>
  <c r="U5" i="9"/>
  <c r="T5" i="9"/>
  <c r="S5" i="9"/>
  <c r="R5" i="9"/>
  <c r="Q5" i="9"/>
  <c r="P5" i="9"/>
  <c r="O5" i="9"/>
  <c r="N5" i="9"/>
  <c r="M5" i="9"/>
  <c r="L5" i="9"/>
  <c r="K5" i="9"/>
  <c r="J5" i="9"/>
  <c r="I5" i="9"/>
  <c r="H5" i="9"/>
  <c r="G5" i="9"/>
  <c r="F5" i="9"/>
  <c r="E5" i="9"/>
  <c r="D5" i="9"/>
  <c r="C5" i="9"/>
  <c r="D7" i="8"/>
  <c r="E7" i="8"/>
  <c r="F7" i="8"/>
  <c r="G7" i="8"/>
  <c r="H7" i="8"/>
  <c r="I7" i="8"/>
  <c r="J7" i="8"/>
  <c r="K7" i="8"/>
  <c r="L7" i="8"/>
  <c r="M7" i="8"/>
  <c r="N7" i="8"/>
  <c r="O7" i="8"/>
  <c r="P7" i="8"/>
  <c r="Q7" i="8"/>
  <c r="R7" i="8"/>
  <c r="S7" i="8"/>
  <c r="T7" i="8"/>
  <c r="U7" i="8"/>
  <c r="V7" i="8"/>
  <c r="D8" i="8"/>
  <c r="E8" i="8"/>
  <c r="F8" i="8"/>
  <c r="G8" i="8"/>
  <c r="H8" i="8"/>
  <c r="I8" i="8"/>
  <c r="J8" i="8"/>
  <c r="K8" i="8"/>
  <c r="L8" i="8"/>
  <c r="M8" i="8"/>
  <c r="N8" i="8"/>
  <c r="O8" i="8"/>
  <c r="P8" i="8"/>
  <c r="Q8" i="8"/>
  <c r="R8" i="8"/>
  <c r="S8" i="8"/>
  <c r="T8" i="8"/>
  <c r="U8" i="8"/>
  <c r="V8" i="8"/>
  <c r="C8" i="8"/>
  <c r="C7" i="8"/>
  <c r="F3" i="1"/>
  <c r="F4" i="1"/>
  <c r="F12" i="1"/>
  <c r="F6" i="1"/>
  <c r="F13" i="1"/>
  <c r="F8" i="1"/>
  <c r="F14" i="1"/>
  <c r="F15" i="1"/>
  <c r="F18" i="1"/>
  <c r="F5" i="1"/>
  <c r="F7" i="1"/>
  <c r="F9" i="1"/>
  <c r="F10" i="1"/>
  <c r="F11" i="1"/>
  <c r="F16" i="1"/>
  <c r="F17" i="1"/>
  <c r="F19" i="1"/>
  <c r="F20" i="1"/>
  <c r="F21" i="1"/>
  <c r="F2" i="1"/>
  <c r="Q6" i="8" l="1"/>
  <c r="E6" i="8"/>
  <c r="T6" i="8"/>
  <c r="P6" i="8"/>
  <c r="L6" i="8"/>
  <c r="H6" i="8"/>
  <c r="D6" i="8"/>
  <c r="U6" i="8"/>
  <c r="M6" i="8"/>
  <c r="C6" i="8"/>
  <c r="S6" i="8"/>
  <c r="O6" i="8"/>
  <c r="K6" i="8"/>
  <c r="G6" i="8"/>
  <c r="I6" i="8"/>
  <c r="V6" i="8"/>
  <c r="R6" i="8"/>
  <c r="N6" i="8"/>
  <c r="J6" i="8"/>
  <c r="N5" i="8"/>
  <c r="J5" i="8"/>
  <c r="U5" i="8"/>
  <c r="Q5" i="8"/>
  <c r="M5" i="8"/>
  <c r="I5" i="8"/>
  <c r="E5" i="8"/>
  <c r="R5" i="8"/>
  <c r="F5" i="8"/>
  <c r="T5" i="8"/>
  <c r="P5" i="8"/>
  <c r="L5" i="8"/>
  <c r="H5" i="8"/>
  <c r="D5" i="8"/>
  <c r="V5" i="8"/>
  <c r="C5" i="8"/>
  <c r="S5" i="8"/>
  <c r="O5" i="8"/>
  <c r="K5" i="8"/>
  <c r="Q4" i="8"/>
  <c r="I4" i="8"/>
  <c r="E4" i="8"/>
  <c r="T4" i="8"/>
  <c r="P4" i="8"/>
  <c r="L4" i="8"/>
  <c r="H4" i="8"/>
  <c r="D4" i="8"/>
  <c r="S4" i="8"/>
  <c r="O4" i="8"/>
  <c r="K4" i="8"/>
  <c r="G4" i="8"/>
  <c r="C4" i="8"/>
  <c r="U4" i="8"/>
  <c r="M4" i="8"/>
  <c r="V4" i="8"/>
  <c r="R4" i="8"/>
  <c r="N4" i="8"/>
  <c r="J4" i="8"/>
  <c r="F4" i="8"/>
  <c r="C4" i="9"/>
  <c r="K4" i="9"/>
  <c r="S4" i="9"/>
  <c r="D4" i="9"/>
  <c r="L4" i="9"/>
  <c r="P4" i="9"/>
  <c r="E4" i="9"/>
  <c r="I4" i="9"/>
  <c r="M4" i="9"/>
  <c r="Q4" i="9"/>
  <c r="U4" i="9"/>
  <c r="G4" i="9"/>
  <c r="O4" i="9"/>
  <c r="H4" i="9"/>
  <c r="T4" i="9"/>
  <c r="F4" i="9"/>
  <c r="J4" i="9"/>
  <c r="N4" i="9"/>
  <c r="R4" i="9"/>
</calcChain>
</file>

<file path=xl/sharedStrings.xml><?xml version="1.0" encoding="utf-8"?>
<sst xmlns="http://schemas.openxmlformats.org/spreadsheetml/2006/main" count="59" uniqueCount="38">
  <si>
    <t>facility f</t>
  </si>
  <si>
    <t>max cap. Quf</t>
  </si>
  <si>
    <t>min expansion qLf</t>
  </si>
  <si>
    <t>min production XLf</t>
  </si>
  <si>
    <t>Production days per year</t>
  </si>
  <si>
    <t>MCfp</t>
  </si>
  <si>
    <t>MCfs</t>
  </si>
  <si>
    <t>Nation n</t>
  </si>
  <si>
    <t>Customer c</t>
  </si>
  <si>
    <t>Supplier s</t>
  </si>
  <si>
    <t>corporate tax TRn</t>
  </si>
  <si>
    <t>M1</t>
  </si>
  <si>
    <t>Material i</t>
  </si>
  <si>
    <t>Purchase price Pigf for all f</t>
  </si>
  <si>
    <t>Demand M8 Monpoly</t>
  </si>
  <si>
    <t>Demand M8 Regular Market</t>
  </si>
  <si>
    <t>Purchase Cost for M5</t>
  </si>
  <si>
    <t>supplier s</t>
  </si>
  <si>
    <t>Basic Charge</t>
  </si>
  <si>
    <t>M2</t>
  </si>
  <si>
    <t>M3</t>
  </si>
  <si>
    <t>M6</t>
  </si>
  <si>
    <t>M4</t>
  </si>
  <si>
    <t>M7</t>
  </si>
  <si>
    <t>Sum</t>
  </si>
  <si>
    <t>Percentage of Monopoly Price</t>
  </si>
  <si>
    <t>Percentage of Overall Demand</t>
  </si>
  <si>
    <t>M5</t>
  </si>
  <si>
    <t>facilities from</t>
  </si>
  <si>
    <t>to</t>
  </si>
  <si>
    <t>IF</t>
  </si>
  <si>
    <t>Facility f</t>
  </si>
  <si>
    <t>F</t>
  </si>
  <si>
    <t>EF</t>
  </si>
  <si>
    <t>S_start</t>
  </si>
  <si>
    <t>C_final</t>
  </si>
  <si>
    <t>N</t>
  </si>
  <si>
    <t>F/N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</si>
</sst>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2">
    <numFmt numFmtId="164" formatCode="0.000"/>
    <numFmt numFmtId="165" formatCode="0.0"/>
  </numFmts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164" fontId="0" fillId="0" borderId="0" xfId="0" applyNumberFormat="1"/>
    <xf numFmtId="165" fontId="0" fillId="0" borderId="0" xfId="0" applyNumberFormat="1"/>
    <xf numFmtId="0" fontId="0" fillId="0" borderId="0" xfId="0" applyAlignment="1">
      <alignment horizontal="center"/>
    </xf>
  </cellXfs>
  <cellStyles count="1">
    <cellStyle name="Standard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37"/>
  <sheetViews>
    <sheetView topLeftCell="A20" workbookViewId="0">
      <selection activeCell="A5" sqref="A5:A37"/>
    </sheetView>
  </sheetViews>
  <sheetFormatPr baseColWidth="10" defaultRowHeight="14.4" x14ac:dyDescent="0.3"/>
  <cols>
    <col min="1" max="5" width="11.5546875" style="3"/>
  </cols>
  <sheetData>
    <row r="1" spans="1:5" x14ac:dyDescent="0.3">
      <c r="A1" s="3" t="s">
        <v>30</v>
      </c>
      <c r="B1" s="3">
        <v>1</v>
      </c>
      <c r="C1" s="3">
        <v>0</v>
      </c>
      <c r="D1" s="3">
        <v>0</v>
      </c>
      <c r="E1" s="3">
        <v>0</v>
      </c>
    </row>
    <row r="2" spans="1:5" x14ac:dyDescent="0.3">
      <c r="A2" s="3" t="s">
        <v>34</v>
      </c>
      <c r="B2" s="3">
        <v>0</v>
      </c>
      <c r="C2" s="3">
        <v>1</v>
      </c>
      <c r="D2" s="3">
        <v>1</v>
      </c>
      <c r="E2" s="3">
        <v>0</v>
      </c>
    </row>
    <row r="3" spans="1:5" x14ac:dyDescent="0.3">
      <c r="A3" s="3" t="s">
        <v>35</v>
      </c>
      <c r="B3" s="3">
        <v>0</v>
      </c>
      <c r="C3" s="3">
        <v>1</v>
      </c>
      <c r="D3" s="3">
        <v>0</v>
      </c>
      <c r="E3" s="3">
        <v>1</v>
      </c>
    </row>
    <row r="5" spans="1:5" x14ac:dyDescent="0.3">
      <c r="A5" s="3" t="s">
        <v>32</v>
      </c>
      <c r="B5" s="3" t="s">
        <v>30</v>
      </c>
      <c r="C5" s="3" t="s">
        <v>33</v>
      </c>
      <c r="D5" s="3" t="s">
        <v>34</v>
      </c>
      <c r="E5" s="3" t="s">
        <v>35</v>
      </c>
    </row>
    <row r="6" spans="1:5" x14ac:dyDescent="0.3">
      <c r="A6" s="3">
        <v>1</v>
      </c>
      <c r="B6" s="3">
        <v>1</v>
      </c>
      <c r="C6" s="3">
        <v>0</v>
      </c>
      <c r="D6" s="3">
        <v>0</v>
      </c>
      <c r="E6" s="3">
        <v>0</v>
      </c>
    </row>
    <row r="7" spans="1:5" x14ac:dyDescent="0.3">
      <c r="A7" s="3">
        <v>2</v>
      </c>
      <c r="B7" s="3">
        <v>1</v>
      </c>
      <c r="C7" s="3">
        <v>0</v>
      </c>
      <c r="D7" s="3">
        <v>0</v>
      </c>
      <c r="E7" s="3">
        <v>0</v>
      </c>
    </row>
    <row r="8" spans="1:5" x14ac:dyDescent="0.3">
      <c r="A8" s="3">
        <v>3</v>
      </c>
      <c r="B8" s="3">
        <v>1</v>
      </c>
      <c r="C8" s="3">
        <v>0</v>
      </c>
      <c r="D8" s="3">
        <v>0</v>
      </c>
      <c r="E8" s="3">
        <v>0</v>
      </c>
    </row>
    <row r="9" spans="1:5" x14ac:dyDescent="0.3">
      <c r="A9" s="3">
        <v>4</v>
      </c>
      <c r="B9" s="3">
        <v>1</v>
      </c>
      <c r="C9" s="3">
        <v>0</v>
      </c>
      <c r="D9" s="3">
        <v>0</v>
      </c>
      <c r="E9" s="3">
        <v>0</v>
      </c>
    </row>
    <row r="10" spans="1:5" x14ac:dyDescent="0.3">
      <c r="A10" s="3">
        <v>5</v>
      </c>
      <c r="B10" s="3">
        <v>1</v>
      </c>
      <c r="C10" s="3">
        <v>0</v>
      </c>
      <c r="D10" s="3">
        <v>0</v>
      </c>
      <c r="E10" s="3">
        <v>0</v>
      </c>
    </row>
    <row r="11" spans="1:5" x14ac:dyDescent="0.3">
      <c r="A11" s="3">
        <v>6</v>
      </c>
      <c r="B11" s="3">
        <v>1</v>
      </c>
      <c r="C11" s="3">
        <v>0</v>
      </c>
      <c r="D11" s="3">
        <v>0</v>
      </c>
      <c r="E11" s="3">
        <v>0</v>
      </c>
    </row>
    <row r="12" spans="1:5" x14ac:dyDescent="0.3">
      <c r="A12" s="3">
        <v>7</v>
      </c>
      <c r="B12" s="3">
        <v>1</v>
      </c>
      <c r="C12" s="3">
        <v>0</v>
      </c>
      <c r="D12" s="3">
        <v>0</v>
      </c>
      <c r="E12" s="3">
        <v>0</v>
      </c>
    </row>
    <row r="13" spans="1:5" x14ac:dyDescent="0.3">
      <c r="A13" s="3">
        <v>8</v>
      </c>
      <c r="B13" s="3">
        <v>1</v>
      </c>
      <c r="C13" s="3">
        <v>0</v>
      </c>
      <c r="D13" s="3">
        <v>0</v>
      </c>
      <c r="E13" s="3">
        <v>0</v>
      </c>
    </row>
    <row r="14" spans="1:5" x14ac:dyDescent="0.3">
      <c r="A14" s="3">
        <v>9</v>
      </c>
      <c r="B14" s="3">
        <v>1</v>
      </c>
      <c r="C14" s="3">
        <v>0</v>
      </c>
      <c r="D14" s="3">
        <v>0</v>
      </c>
      <c r="E14" s="3">
        <v>0</v>
      </c>
    </row>
    <row r="15" spans="1:5" x14ac:dyDescent="0.3">
      <c r="A15" s="3">
        <v>10</v>
      </c>
      <c r="B15" s="3">
        <v>1</v>
      </c>
      <c r="C15" s="3">
        <v>0</v>
      </c>
      <c r="D15" s="3">
        <v>0</v>
      </c>
      <c r="E15" s="3">
        <v>0</v>
      </c>
    </row>
    <row r="16" spans="1:5" x14ac:dyDescent="0.3">
      <c r="A16" s="3">
        <v>11</v>
      </c>
      <c r="B16" s="3">
        <v>1</v>
      </c>
      <c r="C16" s="3">
        <v>0</v>
      </c>
      <c r="D16" s="3">
        <v>0</v>
      </c>
      <c r="E16" s="3">
        <v>0</v>
      </c>
    </row>
    <row r="17" spans="1:5" x14ac:dyDescent="0.3">
      <c r="A17" s="3">
        <v>12</v>
      </c>
      <c r="B17" s="3">
        <v>1</v>
      </c>
      <c r="C17" s="3">
        <v>0</v>
      </c>
      <c r="D17" s="3">
        <v>0</v>
      </c>
      <c r="E17" s="3">
        <v>0</v>
      </c>
    </row>
    <row r="18" spans="1:5" x14ac:dyDescent="0.3">
      <c r="A18" s="3">
        <v>13</v>
      </c>
      <c r="B18" s="3">
        <v>1</v>
      </c>
      <c r="C18" s="3">
        <v>0</v>
      </c>
      <c r="D18" s="3">
        <v>0</v>
      </c>
      <c r="E18" s="3">
        <v>0</v>
      </c>
    </row>
    <row r="19" spans="1:5" x14ac:dyDescent="0.3">
      <c r="A19" s="3">
        <v>14</v>
      </c>
      <c r="B19" s="3">
        <v>1</v>
      </c>
      <c r="C19" s="3">
        <v>0</v>
      </c>
      <c r="D19" s="3">
        <v>0</v>
      </c>
      <c r="E19" s="3">
        <v>0</v>
      </c>
    </row>
    <row r="20" spans="1:5" x14ac:dyDescent="0.3">
      <c r="A20" s="3">
        <v>15</v>
      </c>
      <c r="B20" s="3">
        <v>1</v>
      </c>
      <c r="C20" s="3">
        <v>0</v>
      </c>
      <c r="D20" s="3">
        <v>0</v>
      </c>
      <c r="E20" s="3">
        <v>0</v>
      </c>
    </row>
    <row r="21" spans="1:5" x14ac:dyDescent="0.3">
      <c r="A21" s="3">
        <v>16</v>
      </c>
      <c r="B21" s="3">
        <v>1</v>
      </c>
      <c r="C21" s="3">
        <v>0</v>
      </c>
      <c r="D21" s="3">
        <v>0</v>
      </c>
      <c r="E21" s="3">
        <v>0</v>
      </c>
    </row>
    <row r="22" spans="1:5" x14ac:dyDescent="0.3">
      <c r="A22" s="3">
        <v>17</v>
      </c>
      <c r="B22" s="3">
        <v>1</v>
      </c>
      <c r="C22" s="3">
        <v>0</v>
      </c>
      <c r="D22" s="3">
        <v>0</v>
      </c>
      <c r="E22" s="3">
        <v>0</v>
      </c>
    </row>
    <row r="23" spans="1:5" x14ac:dyDescent="0.3">
      <c r="A23" s="3">
        <v>18</v>
      </c>
      <c r="B23" s="3">
        <v>1</v>
      </c>
      <c r="C23" s="3">
        <v>0</v>
      </c>
      <c r="D23" s="3">
        <v>0</v>
      </c>
      <c r="E23" s="3">
        <v>0</v>
      </c>
    </row>
    <row r="24" spans="1:5" x14ac:dyDescent="0.3">
      <c r="A24" s="3">
        <v>19</v>
      </c>
      <c r="B24" s="3">
        <v>1</v>
      </c>
      <c r="C24" s="3">
        <v>0</v>
      </c>
      <c r="D24" s="3">
        <v>0</v>
      </c>
      <c r="E24" s="3">
        <v>0</v>
      </c>
    </row>
    <row r="25" spans="1:5" x14ac:dyDescent="0.3">
      <c r="A25" s="3">
        <v>20</v>
      </c>
      <c r="B25" s="3">
        <v>1</v>
      </c>
      <c r="C25" s="3">
        <v>0</v>
      </c>
      <c r="D25" s="3">
        <v>0</v>
      </c>
      <c r="E25" s="3">
        <v>0</v>
      </c>
    </row>
    <row r="26" spans="1:5" x14ac:dyDescent="0.3">
      <c r="A26" s="3">
        <v>21</v>
      </c>
      <c r="B26" s="3">
        <v>0</v>
      </c>
      <c r="C26" s="3">
        <v>1</v>
      </c>
      <c r="D26" s="3">
        <v>1</v>
      </c>
      <c r="E26" s="3">
        <v>0</v>
      </c>
    </row>
    <row r="27" spans="1:5" x14ac:dyDescent="0.3">
      <c r="A27" s="3">
        <v>22</v>
      </c>
      <c r="B27" s="3">
        <v>0</v>
      </c>
      <c r="C27" s="3">
        <v>1</v>
      </c>
      <c r="D27" s="3">
        <v>1</v>
      </c>
      <c r="E27" s="3">
        <v>0</v>
      </c>
    </row>
    <row r="28" spans="1:5" x14ac:dyDescent="0.3">
      <c r="A28" s="3">
        <v>23</v>
      </c>
      <c r="B28" s="3">
        <v>0</v>
      </c>
      <c r="C28" s="3">
        <v>1</v>
      </c>
      <c r="D28" s="3">
        <v>1</v>
      </c>
      <c r="E28" s="3">
        <v>0</v>
      </c>
    </row>
    <row r="29" spans="1:5" x14ac:dyDescent="0.3">
      <c r="A29" s="3">
        <v>24</v>
      </c>
      <c r="B29" s="3">
        <v>0</v>
      </c>
      <c r="C29" s="3">
        <v>1</v>
      </c>
      <c r="D29" s="3">
        <v>1</v>
      </c>
      <c r="E29" s="3">
        <v>0</v>
      </c>
    </row>
    <row r="30" spans="1:5" x14ac:dyDescent="0.3">
      <c r="A30" s="3">
        <v>25</v>
      </c>
      <c r="B30" s="3">
        <v>0</v>
      </c>
      <c r="C30" s="3">
        <v>1</v>
      </c>
      <c r="D30" s="3">
        <v>1</v>
      </c>
      <c r="E30" s="3">
        <v>0</v>
      </c>
    </row>
    <row r="31" spans="1:5" x14ac:dyDescent="0.3">
      <c r="A31" s="3">
        <v>26</v>
      </c>
      <c r="B31" s="3">
        <v>0</v>
      </c>
      <c r="C31" s="3">
        <v>1</v>
      </c>
      <c r="D31" s="3">
        <v>1</v>
      </c>
      <c r="E31" s="3">
        <v>0</v>
      </c>
    </row>
    <row r="32" spans="1:5" x14ac:dyDescent="0.3">
      <c r="A32" s="3">
        <v>27</v>
      </c>
      <c r="B32" s="3">
        <v>0</v>
      </c>
      <c r="C32" s="3">
        <v>1</v>
      </c>
      <c r="D32" s="3">
        <v>1</v>
      </c>
      <c r="E32" s="3">
        <v>0</v>
      </c>
    </row>
    <row r="33" spans="1:5" x14ac:dyDescent="0.3">
      <c r="A33" s="3">
        <v>28</v>
      </c>
      <c r="B33" s="3">
        <v>0</v>
      </c>
      <c r="C33" s="3">
        <v>1</v>
      </c>
      <c r="D33" s="3">
        <v>0</v>
      </c>
      <c r="E33" s="3">
        <v>1</v>
      </c>
    </row>
    <row r="34" spans="1:5" x14ac:dyDescent="0.3">
      <c r="A34" s="3">
        <v>29</v>
      </c>
      <c r="B34" s="3">
        <v>0</v>
      </c>
      <c r="C34" s="3">
        <v>1</v>
      </c>
      <c r="D34" s="3">
        <v>0</v>
      </c>
      <c r="E34" s="3">
        <v>1</v>
      </c>
    </row>
    <row r="35" spans="1:5" x14ac:dyDescent="0.3">
      <c r="A35" s="3">
        <v>30</v>
      </c>
      <c r="B35" s="3">
        <v>0</v>
      </c>
      <c r="C35" s="3">
        <v>1</v>
      </c>
      <c r="D35" s="3">
        <v>0</v>
      </c>
      <c r="E35" s="3">
        <v>1</v>
      </c>
    </row>
    <row r="36" spans="1:5" x14ac:dyDescent="0.3">
      <c r="A36" s="3">
        <v>31</v>
      </c>
      <c r="B36" s="3">
        <v>0</v>
      </c>
      <c r="C36" s="3">
        <v>1</v>
      </c>
      <c r="D36" s="3">
        <v>0</v>
      </c>
      <c r="E36" s="3">
        <v>1</v>
      </c>
    </row>
    <row r="37" spans="1:5" x14ac:dyDescent="0.3">
      <c r="A37" s="3">
        <v>32</v>
      </c>
      <c r="B37" s="3">
        <v>0</v>
      </c>
      <c r="C37" s="3">
        <v>1</v>
      </c>
      <c r="D37" s="3">
        <v>0</v>
      </c>
      <c r="E37" s="3">
        <v>1</v>
      </c>
    </row>
  </sheetData>
  <pageMargins left="0.7" right="0.7" top="0.78740157499999996" bottom="0.78740157499999996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33"/>
  <sheetViews>
    <sheetView tabSelected="1" workbookViewId="0">
      <selection activeCell="B22" sqref="B22"/>
    </sheetView>
  </sheetViews>
  <sheetFormatPr baseColWidth="10" defaultRowHeight="14.4" x14ac:dyDescent="0.3"/>
  <cols>
    <col min="13" max="13" width="8" bestFit="1" customWidth="1"/>
    <col min="14" max="14" width="10.21875" bestFit="1" customWidth="1"/>
    <col min="15" max="15" width="8.6640625" bestFit="1" customWidth="1"/>
    <col min="16" max="16" width="15.6640625" bestFit="1" customWidth="1"/>
  </cols>
  <sheetData>
    <row r="1" spans="1:16" x14ac:dyDescent="0.3">
      <c r="A1" s="3" t="s">
        <v>37</v>
      </c>
      <c r="B1" s="3">
        <v>1</v>
      </c>
      <c r="C1" s="3">
        <v>2</v>
      </c>
      <c r="D1" s="3">
        <v>3</v>
      </c>
      <c r="E1" s="3">
        <v>4</v>
      </c>
      <c r="F1" s="3">
        <v>5</v>
      </c>
      <c r="G1" s="3">
        <v>6</v>
      </c>
      <c r="H1" s="3">
        <v>7</v>
      </c>
      <c r="I1" s="3">
        <v>8</v>
      </c>
      <c r="J1" s="3">
        <v>9</v>
      </c>
      <c r="K1" s="3">
        <v>10</v>
      </c>
      <c r="L1" t="s">
        <v>36</v>
      </c>
      <c r="M1" t="s">
        <v>7</v>
      </c>
      <c r="N1" t="s">
        <v>8</v>
      </c>
      <c r="O1" t="s">
        <v>9</v>
      </c>
      <c r="P1" t="s">
        <v>10</v>
      </c>
    </row>
    <row r="2" spans="1:16" x14ac:dyDescent="0.3">
      <c r="A2" s="3">
        <v>1</v>
      </c>
      <c r="B2" s="3">
        <v>1</v>
      </c>
      <c r="C2" s="3">
        <v>0</v>
      </c>
      <c r="D2" s="3">
        <v>0</v>
      </c>
      <c r="E2" s="3">
        <v>0</v>
      </c>
      <c r="F2" s="3">
        <v>0</v>
      </c>
      <c r="G2" s="3">
        <v>0</v>
      </c>
      <c r="H2" s="3">
        <v>0</v>
      </c>
      <c r="I2" s="3">
        <v>0</v>
      </c>
      <c r="J2" s="3">
        <v>0</v>
      </c>
      <c r="K2" s="3">
        <v>0</v>
      </c>
      <c r="M2">
        <v>1</v>
      </c>
      <c r="N2">
        <v>1</v>
      </c>
      <c r="O2">
        <v>1</v>
      </c>
      <c r="P2">
        <v>0.21</v>
      </c>
    </row>
    <row r="3" spans="1:16" x14ac:dyDescent="0.3">
      <c r="A3" s="3">
        <v>2</v>
      </c>
      <c r="B3" s="3">
        <v>1</v>
      </c>
      <c r="C3" s="3">
        <v>0</v>
      </c>
      <c r="D3" s="3">
        <v>0</v>
      </c>
      <c r="E3" s="3">
        <v>0</v>
      </c>
      <c r="F3" s="3">
        <v>0</v>
      </c>
      <c r="G3" s="3">
        <v>0</v>
      </c>
      <c r="H3" s="3">
        <v>0</v>
      </c>
      <c r="I3" s="3">
        <v>0</v>
      </c>
      <c r="J3" s="3">
        <v>0</v>
      </c>
      <c r="K3" s="3">
        <v>0</v>
      </c>
      <c r="M3">
        <v>2</v>
      </c>
      <c r="N3">
        <v>2</v>
      </c>
      <c r="P3">
        <v>0.38</v>
      </c>
    </row>
    <row r="4" spans="1:16" x14ac:dyDescent="0.3">
      <c r="A4" s="3">
        <v>3</v>
      </c>
      <c r="B4" s="3">
        <v>0</v>
      </c>
      <c r="C4" s="3">
        <v>1</v>
      </c>
      <c r="D4" s="3">
        <v>0</v>
      </c>
      <c r="E4" s="3">
        <v>0</v>
      </c>
      <c r="F4" s="3">
        <v>0</v>
      </c>
      <c r="G4" s="3">
        <v>0</v>
      </c>
      <c r="H4" s="3">
        <v>0</v>
      </c>
      <c r="I4" s="3">
        <v>0</v>
      </c>
      <c r="J4" s="3">
        <v>0</v>
      </c>
      <c r="K4" s="3">
        <v>0</v>
      </c>
      <c r="M4">
        <v>3</v>
      </c>
      <c r="N4">
        <v>3</v>
      </c>
      <c r="P4">
        <v>0.18</v>
      </c>
    </row>
    <row r="5" spans="1:16" x14ac:dyDescent="0.3">
      <c r="A5" s="3">
        <v>4</v>
      </c>
      <c r="B5" s="3">
        <v>0</v>
      </c>
      <c r="C5" s="3">
        <v>1</v>
      </c>
      <c r="D5" s="3">
        <v>0</v>
      </c>
      <c r="E5" s="3">
        <v>0</v>
      </c>
      <c r="F5" s="3">
        <v>0</v>
      </c>
      <c r="G5" s="3">
        <v>0</v>
      </c>
      <c r="H5" s="3">
        <v>0</v>
      </c>
      <c r="I5" s="3">
        <v>0</v>
      </c>
      <c r="J5" s="3">
        <v>0</v>
      </c>
      <c r="K5" s="3">
        <v>0</v>
      </c>
      <c r="M5">
        <v>4</v>
      </c>
      <c r="O5">
        <v>2</v>
      </c>
      <c r="P5">
        <v>0.22</v>
      </c>
    </row>
    <row r="6" spans="1:16" x14ac:dyDescent="0.3">
      <c r="A6" s="3">
        <v>5</v>
      </c>
      <c r="B6" s="3">
        <v>0</v>
      </c>
      <c r="C6" s="3">
        <v>0</v>
      </c>
      <c r="D6" s="3">
        <v>1</v>
      </c>
      <c r="E6" s="3">
        <v>0</v>
      </c>
      <c r="F6" s="3">
        <v>0</v>
      </c>
      <c r="G6" s="3">
        <v>0</v>
      </c>
      <c r="H6" s="3">
        <v>0</v>
      </c>
      <c r="I6" s="3">
        <v>0</v>
      </c>
      <c r="J6" s="3">
        <v>0</v>
      </c>
      <c r="K6" s="3">
        <v>0</v>
      </c>
      <c r="M6">
        <v>5</v>
      </c>
      <c r="P6">
        <v>0.4</v>
      </c>
    </row>
    <row r="7" spans="1:16" x14ac:dyDescent="0.3">
      <c r="A7" s="3">
        <v>6</v>
      </c>
      <c r="B7" s="3">
        <v>0</v>
      </c>
      <c r="C7" s="3">
        <v>0</v>
      </c>
      <c r="D7" s="3">
        <v>1</v>
      </c>
      <c r="E7" s="3">
        <v>0</v>
      </c>
      <c r="F7" s="3">
        <v>0</v>
      </c>
      <c r="G7" s="3">
        <v>0</v>
      </c>
      <c r="H7" s="3">
        <v>0</v>
      </c>
      <c r="I7" s="3">
        <v>0</v>
      </c>
      <c r="J7" s="3">
        <v>0</v>
      </c>
      <c r="K7" s="3">
        <v>0</v>
      </c>
      <c r="M7">
        <v>6</v>
      </c>
      <c r="N7">
        <v>4</v>
      </c>
      <c r="O7">
        <v>3</v>
      </c>
      <c r="P7">
        <v>0.35</v>
      </c>
    </row>
    <row r="8" spans="1:16" x14ac:dyDescent="0.3">
      <c r="A8" s="3">
        <v>7</v>
      </c>
      <c r="B8" s="3">
        <v>0</v>
      </c>
      <c r="C8" s="3">
        <v>0</v>
      </c>
      <c r="D8" s="3">
        <v>0</v>
      </c>
      <c r="E8" s="3">
        <v>1</v>
      </c>
      <c r="F8" s="3">
        <v>0</v>
      </c>
      <c r="G8" s="3">
        <v>0</v>
      </c>
      <c r="H8" s="3">
        <v>0</v>
      </c>
      <c r="I8" s="3">
        <v>0</v>
      </c>
      <c r="J8" s="3">
        <v>0</v>
      </c>
      <c r="K8" s="3">
        <v>0</v>
      </c>
      <c r="M8">
        <v>7</v>
      </c>
      <c r="N8">
        <v>5</v>
      </c>
      <c r="P8">
        <v>0.24</v>
      </c>
    </row>
    <row r="9" spans="1:16" x14ac:dyDescent="0.3">
      <c r="A9" s="3">
        <v>8</v>
      </c>
      <c r="B9" s="3">
        <v>0</v>
      </c>
      <c r="C9" s="3">
        <v>0</v>
      </c>
      <c r="D9" s="3">
        <v>0</v>
      </c>
      <c r="E9" s="3">
        <v>1</v>
      </c>
      <c r="F9" s="3">
        <v>0</v>
      </c>
      <c r="G9" s="3">
        <v>0</v>
      </c>
      <c r="H9" s="3">
        <v>0</v>
      </c>
      <c r="I9" s="3">
        <v>0</v>
      </c>
      <c r="J9" s="3">
        <v>0</v>
      </c>
      <c r="K9" s="3">
        <v>0</v>
      </c>
      <c r="M9">
        <v>8</v>
      </c>
      <c r="N9">
        <v>6</v>
      </c>
      <c r="O9">
        <v>4</v>
      </c>
      <c r="P9">
        <v>0.39</v>
      </c>
    </row>
    <row r="10" spans="1:16" x14ac:dyDescent="0.3">
      <c r="A10" s="3">
        <v>9</v>
      </c>
      <c r="B10" s="3">
        <v>0</v>
      </c>
      <c r="C10" s="3">
        <v>0</v>
      </c>
      <c r="D10" s="3">
        <v>0</v>
      </c>
      <c r="E10" s="3">
        <v>0</v>
      </c>
      <c r="F10" s="3">
        <v>1</v>
      </c>
      <c r="G10" s="3">
        <v>0</v>
      </c>
      <c r="H10" s="3">
        <v>0</v>
      </c>
      <c r="I10" s="3">
        <v>0</v>
      </c>
      <c r="J10" s="3">
        <v>0</v>
      </c>
      <c r="K10" s="3">
        <v>0</v>
      </c>
      <c r="M10">
        <v>9</v>
      </c>
      <c r="O10">
        <v>5</v>
      </c>
      <c r="P10">
        <v>0.26</v>
      </c>
    </row>
    <row r="11" spans="1:16" x14ac:dyDescent="0.3">
      <c r="A11" s="3">
        <v>10</v>
      </c>
      <c r="B11" s="3">
        <v>0</v>
      </c>
      <c r="C11" s="3">
        <v>0</v>
      </c>
      <c r="D11" s="3">
        <v>0</v>
      </c>
      <c r="E11" s="3">
        <v>0</v>
      </c>
      <c r="F11" s="3">
        <v>1</v>
      </c>
      <c r="G11" s="3">
        <v>0</v>
      </c>
      <c r="H11" s="3">
        <v>0</v>
      </c>
      <c r="I11" s="3">
        <v>0</v>
      </c>
      <c r="J11" s="3">
        <v>0</v>
      </c>
      <c r="K11" s="3">
        <v>0</v>
      </c>
      <c r="M11">
        <v>10</v>
      </c>
      <c r="N11">
        <v>7</v>
      </c>
      <c r="P11">
        <v>0.15</v>
      </c>
    </row>
    <row r="12" spans="1:16" x14ac:dyDescent="0.3">
      <c r="A12" s="3">
        <v>11</v>
      </c>
      <c r="B12" s="3">
        <v>0</v>
      </c>
      <c r="C12" s="3">
        <v>0</v>
      </c>
      <c r="D12" s="3">
        <v>0</v>
      </c>
      <c r="E12" s="3">
        <v>0</v>
      </c>
      <c r="F12" s="3">
        <v>0</v>
      </c>
      <c r="G12" s="3">
        <v>1</v>
      </c>
      <c r="H12" s="3">
        <v>0</v>
      </c>
      <c r="I12" s="3">
        <v>0</v>
      </c>
      <c r="J12" s="3">
        <v>0</v>
      </c>
      <c r="K12" s="3">
        <v>0</v>
      </c>
    </row>
    <row r="13" spans="1:16" x14ac:dyDescent="0.3">
      <c r="A13" s="3">
        <v>12</v>
      </c>
      <c r="B13" s="3">
        <v>0</v>
      </c>
      <c r="C13" s="3">
        <v>0</v>
      </c>
      <c r="D13" s="3">
        <v>0</v>
      </c>
      <c r="E13" s="3">
        <v>0</v>
      </c>
      <c r="F13" s="3">
        <v>0</v>
      </c>
      <c r="G13" s="3">
        <v>1</v>
      </c>
      <c r="H13" s="3">
        <v>0</v>
      </c>
      <c r="I13" s="3">
        <v>0</v>
      </c>
      <c r="J13" s="3">
        <v>0</v>
      </c>
      <c r="K13" s="3">
        <v>0</v>
      </c>
    </row>
    <row r="14" spans="1:16" x14ac:dyDescent="0.3">
      <c r="A14" s="3">
        <v>13</v>
      </c>
      <c r="B14" s="3">
        <v>0</v>
      </c>
      <c r="C14" s="3">
        <v>0</v>
      </c>
      <c r="D14" s="3">
        <v>0</v>
      </c>
      <c r="E14" s="3">
        <v>0</v>
      </c>
      <c r="F14" s="3">
        <v>0</v>
      </c>
      <c r="G14" s="3">
        <v>0</v>
      </c>
      <c r="H14" s="3">
        <v>1</v>
      </c>
      <c r="I14" s="3">
        <v>0</v>
      </c>
      <c r="J14" s="3">
        <v>0</v>
      </c>
      <c r="K14" s="3">
        <v>0</v>
      </c>
    </row>
    <row r="15" spans="1:16" x14ac:dyDescent="0.3">
      <c r="A15" s="3">
        <v>14</v>
      </c>
      <c r="B15" s="3">
        <v>0</v>
      </c>
      <c r="C15" s="3">
        <v>0</v>
      </c>
      <c r="D15" s="3">
        <v>0</v>
      </c>
      <c r="E15" s="3">
        <v>0</v>
      </c>
      <c r="F15" s="3">
        <v>0</v>
      </c>
      <c r="G15" s="3">
        <v>0</v>
      </c>
      <c r="H15" s="3">
        <v>1</v>
      </c>
      <c r="I15" s="3">
        <v>0</v>
      </c>
      <c r="J15" s="3">
        <v>0</v>
      </c>
      <c r="K15" s="3">
        <v>0</v>
      </c>
    </row>
    <row r="16" spans="1:16" x14ac:dyDescent="0.3">
      <c r="A16" s="3">
        <v>15</v>
      </c>
      <c r="B16" s="3">
        <v>0</v>
      </c>
      <c r="C16" s="3">
        <v>0</v>
      </c>
      <c r="D16" s="3">
        <v>0</v>
      </c>
      <c r="E16" s="3">
        <v>0</v>
      </c>
      <c r="F16" s="3">
        <v>0</v>
      </c>
      <c r="G16" s="3">
        <v>0</v>
      </c>
      <c r="H16" s="3">
        <v>0</v>
      </c>
      <c r="I16" s="3">
        <v>1</v>
      </c>
      <c r="J16" s="3">
        <v>0</v>
      </c>
      <c r="K16" s="3">
        <v>0</v>
      </c>
    </row>
    <row r="17" spans="1:11" x14ac:dyDescent="0.3">
      <c r="A17" s="3">
        <v>16</v>
      </c>
      <c r="B17" s="3">
        <v>0</v>
      </c>
      <c r="C17" s="3">
        <v>0</v>
      </c>
      <c r="D17" s="3">
        <v>0</v>
      </c>
      <c r="E17" s="3">
        <v>0</v>
      </c>
      <c r="F17" s="3">
        <v>0</v>
      </c>
      <c r="G17" s="3">
        <v>0</v>
      </c>
      <c r="H17" s="3">
        <v>0</v>
      </c>
      <c r="I17" s="3">
        <v>1</v>
      </c>
      <c r="J17" s="3">
        <v>0</v>
      </c>
      <c r="K17" s="3">
        <v>0</v>
      </c>
    </row>
    <row r="18" spans="1:11" x14ac:dyDescent="0.3">
      <c r="A18" s="3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>
        <v>0</v>
      </c>
      <c r="H18" s="3">
        <v>0</v>
      </c>
      <c r="I18" s="3">
        <v>0</v>
      </c>
      <c r="J18" s="3">
        <v>1</v>
      </c>
      <c r="K18" s="3">
        <v>0</v>
      </c>
    </row>
    <row r="19" spans="1:11" x14ac:dyDescent="0.3">
      <c r="A19" s="3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>
        <v>0</v>
      </c>
      <c r="I19" s="3">
        <v>0</v>
      </c>
      <c r="J19" s="3">
        <v>1</v>
      </c>
      <c r="K19" s="3">
        <v>0</v>
      </c>
    </row>
    <row r="20" spans="1:11" x14ac:dyDescent="0.3">
      <c r="A20" s="3">
        <v>19</v>
      </c>
      <c r="B20" s="3">
        <v>0</v>
      </c>
      <c r="C20" s="3">
        <v>0</v>
      </c>
      <c r="D20" s="3">
        <v>0</v>
      </c>
      <c r="E20" s="3">
        <v>0</v>
      </c>
      <c r="F20" s="3">
        <v>0</v>
      </c>
      <c r="G20" s="3">
        <v>0</v>
      </c>
      <c r="H20" s="3">
        <v>0</v>
      </c>
      <c r="I20" s="3">
        <v>0</v>
      </c>
      <c r="J20" s="3">
        <v>0</v>
      </c>
      <c r="K20" s="3">
        <v>1</v>
      </c>
    </row>
    <row r="21" spans="1:11" x14ac:dyDescent="0.3">
      <c r="A21" s="3">
        <v>20</v>
      </c>
      <c r="B21" s="3">
        <v>0</v>
      </c>
      <c r="C21" s="3">
        <v>0</v>
      </c>
      <c r="D21" s="3">
        <v>0</v>
      </c>
      <c r="E21" s="3">
        <v>0</v>
      </c>
      <c r="F21" s="3">
        <v>0</v>
      </c>
      <c r="G21" s="3">
        <v>0</v>
      </c>
      <c r="H21" s="3">
        <v>0</v>
      </c>
      <c r="I21" s="3">
        <v>0</v>
      </c>
      <c r="J21" s="3">
        <v>0</v>
      </c>
      <c r="K21" s="3">
        <v>1</v>
      </c>
    </row>
    <row r="22" spans="1:11" x14ac:dyDescent="0.3">
      <c r="A22" s="3">
        <v>21</v>
      </c>
      <c r="B22" s="3"/>
      <c r="C22" s="3"/>
      <c r="D22" s="3"/>
      <c r="E22" s="3"/>
      <c r="F22" s="3"/>
      <c r="G22" s="3"/>
      <c r="H22" s="3"/>
      <c r="I22" s="3"/>
      <c r="J22" s="3"/>
      <c r="K22" s="3"/>
    </row>
    <row r="23" spans="1:11" x14ac:dyDescent="0.3">
      <c r="A23" s="3">
        <v>22</v>
      </c>
      <c r="B23" s="3"/>
      <c r="C23" s="3"/>
      <c r="D23" s="3"/>
      <c r="E23" s="3"/>
      <c r="F23" s="3"/>
      <c r="G23" s="3"/>
      <c r="H23" s="3"/>
      <c r="I23" s="3"/>
      <c r="J23" s="3"/>
      <c r="K23" s="3"/>
    </row>
    <row r="24" spans="1:11" x14ac:dyDescent="0.3">
      <c r="A24" s="3">
        <v>23</v>
      </c>
      <c r="B24" s="3"/>
      <c r="C24" s="3"/>
      <c r="D24" s="3"/>
      <c r="E24" s="3"/>
      <c r="F24" s="3"/>
      <c r="G24" s="3"/>
      <c r="H24" s="3"/>
      <c r="I24" s="3"/>
      <c r="J24" s="3"/>
      <c r="K24" s="3"/>
    </row>
    <row r="25" spans="1:11" x14ac:dyDescent="0.3">
      <c r="A25" s="3">
        <v>24</v>
      </c>
      <c r="B25" s="3"/>
      <c r="C25" s="3"/>
      <c r="D25" s="3"/>
      <c r="E25" s="3"/>
      <c r="F25" s="3"/>
      <c r="G25" s="3"/>
      <c r="H25" s="3"/>
      <c r="I25" s="3"/>
      <c r="J25" s="3"/>
      <c r="K25" s="3"/>
    </row>
    <row r="26" spans="1:11" x14ac:dyDescent="0.3">
      <c r="A26" s="3">
        <v>25</v>
      </c>
      <c r="B26" s="3"/>
      <c r="C26" s="3"/>
      <c r="D26" s="3"/>
      <c r="E26" s="3"/>
      <c r="F26" s="3"/>
      <c r="G26" s="3"/>
      <c r="H26" s="3"/>
      <c r="I26" s="3"/>
      <c r="J26" s="3"/>
      <c r="K26" s="3"/>
    </row>
    <row r="27" spans="1:11" x14ac:dyDescent="0.3">
      <c r="A27" s="3">
        <v>26</v>
      </c>
      <c r="B27" s="3"/>
      <c r="C27" s="3"/>
      <c r="D27" s="3"/>
      <c r="E27" s="3"/>
      <c r="F27" s="3"/>
      <c r="G27" s="3"/>
      <c r="H27" s="3"/>
      <c r="I27" s="3"/>
      <c r="J27" s="3"/>
      <c r="K27" s="3"/>
    </row>
    <row r="28" spans="1:11" x14ac:dyDescent="0.3">
      <c r="A28" s="3">
        <v>27</v>
      </c>
      <c r="B28" s="3"/>
      <c r="C28" s="3"/>
      <c r="D28" s="3"/>
      <c r="E28" s="3"/>
      <c r="F28" s="3"/>
      <c r="G28" s="3"/>
      <c r="H28" s="3"/>
      <c r="I28" s="3"/>
      <c r="J28" s="3"/>
      <c r="K28" s="3"/>
    </row>
    <row r="29" spans="1:11" x14ac:dyDescent="0.3">
      <c r="A29" s="3">
        <v>28</v>
      </c>
      <c r="B29" s="3"/>
      <c r="C29" s="3"/>
      <c r="D29" s="3"/>
      <c r="E29" s="3"/>
      <c r="F29" s="3"/>
      <c r="G29" s="3"/>
      <c r="H29" s="3"/>
      <c r="I29" s="3"/>
      <c r="J29" s="3"/>
      <c r="K29" s="3"/>
    </row>
    <row r="30" spans="1:11" x14ac:dyDescent="0.3">
      <c r="A30" s="3">
        <v>29</v>
      </c>
      <c r="B30" s="3"/>
      <c r="C30" s="3"/>
      <c r="D30" s="3"/>
      <c r="E30" s="3"/>
      <c r="F30" s="3"/>
      <c r="G30" s="3"/>
      <c r="H30" s="3"/>
      <c r="I30" s="3"/>
      <c r="J30" s="3"/>
      <c r="K30" s="3"/>
    </row>
    <row r="31" spans="1:11" x14ac:dyDescent="0.3">
      <c r="A31" s="3">
        <v>30</v>
      </c>
      <c r="B31" s="3"/>
      <c r="C31" s="3"/>
      <c r="D31" s="3"/>
      <c r="E31" s="3"/>
      <c r="F31" s="3"/>
      <c r="G31" s="3"/>
      <c r="H31" s="3"/>
      <c r="I31" s="3"/>
      <c r="J31" s="3"/>
      <c r="K31" s="3"/>
    </row>
    <row r="32" spans="1:11" x14ac:dyDescent="0.3">
      <c r="A32" s="3">
        <v>31</v>
      </c>
      <c r="B32" s="3"/>
      <c r="C32" s="3"/>
      <c r="D32" s="3"/>
      <c r="E32" s="3"/>
      <c r="F32" s="3"/>
      <c r="G32" s="3"/>
      <c r="H32" s="3"/>
      <c r="I32" s="3"/>
      <c r="J32" s="3"/>
      <c r="K32" s="3"/>
    </row>
    <row r="33" spans="1:11" x14ac:dyDescent="0.3">
      <c r="A33" s="3">
        <v>32</v>
      </c>
      <c r="B33" s="3"/>
      <c r="C33" s="3"/>
      <c r="D33" s="3"/>
      <c r="E33" s="3"/>
      <c r="F33" s="3"/>
      <c r="G33" s="3"/>
      <c r="H33" s="3"/>
      <c r="I33" s="3"/>
      <c r="J33" s="3"/>
      <c r="K33" s="3"/>
    </row>
  </sheetData>
  <pageMargins left="0.7" right="0.7" top="0.78740157499999996" bottom="0.78740157499999996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21"/>
  <sheetViews>
    <sheetView workbookViewId="0">
      <selection activeCell="G1" sqref="G1:G1048576"/>
    </sheetView>
  </sheetViews>
  <sheetFormatPr baseColWidth="10" defaultRowHeight="14.4" x14ac:dyDescent="0.3"/>
  <cols>
    <col min="3" max="4" width="16.44140625" bestFit="1" customWidth="1"/>
    <col min="9" max="9" width="8" bestFit="1" customWidth="1"/>
    <col min="10" max="10" width="10.21875" bestFit="1" customWidth="1"/>
    <col min="11" max="11" width="8.6640625" bestFit="1" customWidth="1"/>
    <col min="12" max="12" width="15.6640625" bestFit="1" customWidth="1"/>
    <col min="14" max="14" width="14.88671875" bestFit="1" customWidth="1"/>
    <col min="15" max="15" width="15.44140625" bestFit="1" customWidth="1"/>
    <col min="16" max="16" width="20.77734375" bestFit="1" customWidth="1"/>
    <col min="18" max="18" width="13.44140625" bestFit="1" customWidth="1"/>
  </cols>
  <sheetData>
    <row r="1" spans="1:7" x14ac:dyDescent="0.3">
      <c r="A1" t="s">
        <v>31</v>
      </c>
      <c r="B1" t="s">
        <v>1</v>
      </c>
      <c r="C1" t="s">
        <v>2</v>
      </c>
      <c r="D1" t="s">
        <v>3</v>
      </c>
      <c r="E1" t="s">
        <v>5</v>
      </c>
      <c r="F1" t="s">
        <v>6</v>
      </c>
      <c r="G1" t="s">
        <v>7</v>
      </c>
    </row>
    <row r="2" spans="1:7" x14ac:dyDescent="0.3">
      <c r="A2">
        <v>1</v>
      </c>
      <c r="B2">
        <v>150</v>
      </c>
      <c r="C2">
        <v>25</v>
      </c>
      <c r="D2">
        <v>30</v>
      </c>
      <c r="E2">
        <v>0.58099999999999996</v>
      </c>
      <c r="F2">
        <f>0.6*E2</f>
        <v>0.34859999999999997</v>
      </c>
      <c r="G2">
        <v>1</v>
      </c>
    </row>
    <row r="3" spans="1:7" x14ac:dyDescent="0.3">
      <c r="A3">
        <v>2</v>
      </c>
      <c r="B3">
        <v>140</v>
      </c>
      <c r="C3">
        <v>25</v>
      </c>
      <c r="D3">
        <v>30</v>
      </c>
      <c r="E3">
        <v>0.68700000000000006</v>
      </c>
      <c r="F3">
        <f t="shared" ref="F3:F21" si="0">0.6*E3</f>
        <v>0.41220000000000001</v>
      </c>
      <c r="G3">
        <v>1</v>
      </c>
    </row>
    <row r="4" spans="1:7" x14ac:dyDescent="0.3">
      <c r="A4">
        <v>3</v>
      </c>
      <c r="B4">
        <v>80</v>
      </c>
      <c r="C4">
        <v>25</v>
      </c>
      <c r="D4">
        <v>20</v>
      </c>
      <c r="E4">
        <v>0.72</v>
      </c>
      <c r="F4">
        <f t="shared" si="0"/>
        <v>0.432</v>
      </c>
      <c r="G4">
        <v>2</v>
      </c>
    </row>
    <row r="5" spans="1:7" x14ac:dyDescent="0.3">
      <c r="A5">
        <v>4</v>
      </c>
      <c r="B5">
        <v>85</v>
      </c>
      <c r="C5">
        <v>25</v>
      </c>
      <c r="D5">
        <v>25</v>
      </c>
      <c r="E5">
        <v>0.68700000000000006</v>
      </c>
      <c r="F5">
        <f>0.6*E5</f>
        <v>0.41220000000000001</v>
      </c>
      <c r="G5">
        <v>2</v>
      </c>
    </row>
    <row r="6" spans="1:7" x14ac:dyDescent="0.3">
      <c r="A6">
        <v>5</v>
      </c>
      <c r="B6">
        <v>90</v>
      </c>
      <c r="C6">
        <v>25</v>
      </c>
      <c r="D6">
        <v>30</v>
      </c>
      <c r="E6">
        <v>0.95599999999999996</v>
      </c>
      <c r="F6">
        <f t="shared" si="0"/>
        <v>0.5736</v>
      </c>
      <c r="G6">
        <v>3</v>
      </c>
    </row>
    <row r="7" spans="1:7" x14ac:dyDescent="0.3">
      <c r="A7">
        <v>6</v>
      </c>
      <c r="B7">
        <v>120</v>
      </c>
      <c r="C7">
        <v>25</v>
      </c>
      <c r="D7">
        <v>25</v>
      </c>
      <c r="E7">
        <v>1.113</v>
      </c>
      <c r="F7">
        <f>0.6*E7</f>
        <v>0.66779999999999995</v>
      </c>
      <c r="G7">
        <v>3</v>
      </c>
    </row>
    <row r="8" spans="1:7" x14ac:dyDescent="0.3">
      <c r="A8">
        <v>7</v>
      </c>
      <c r="B8">
        <v>150</v>
      </c>
      <c r="C8">
        <v>30</v>
      </c>
      <c r="D8">
        <v>30</v>
      </c>
      <c r="E8">
        <v>1.113</v>
      </c>
      <c r="F8">
        <f t="shared" si="0"/>
        <v>0.66779999999999995</v>
      </c>
      <c r="G8">
        <v>4</v>
      </c>
    </row>
    <row r="9" spans="1:7" x14ac:dyDescent="0.3">
      <c r="A9">
        <v>8</v>
      </c>
      <c r="B9">
        <v>80</v>
      </c>
      <c r="C9">
        <v>30</v>
      </c>
      <c r="D9">
        <v>30</v>
      </c>
      <c r="E9">
        <v>1.0249999999999999</v>
      </c>
      <c r="F9">
        <f t="shared" ref="F9:F18" si="1">0.6*E9</f>
        <v>0.61499999999999988</v>
      </c>
      <c r="G9">
        <v>4</v>
      </c>
    </row>
    <row r="10" spans="1:7" x14ac:dyDescent="0.3">
      <c r="A10">
        <v>9</v>
      </c>
      <c r="B10">
        <v>100</v>
      </c>
      <c r="C10">
        <v>20</v>
      </c>
      <c r="D10">
        <v>15</v>
      </c>
      <c r="E10">
        <v>1.0249999999999999</v>
      </c>
      <c r="F10">
        <f t="shared" si="1"/>
        <v>0.61499999999999988</v>
      </c>
      <c r="G10">
        <v>5</v>
      </c>
    </row>
    <row r="11" spans="1:7" x14ac:dyDescent="0.3">
      <c r="A11">
        <v>10</v>
      </c>
      <c r="B11">
        <v>70</v>
      </c>
      <c r="C11">
        <v>25</v>
      </c>
      <c r="D11">
        <v>10</v>
      </c>
      <c r="E11">
        <v>0.82499999999999996</v>
      </c>
      <c r="F11">
        <f t="shared" si="1"/>
        <v>0.49499999999999994</v>
      </c>
      <c r="G11">
        <v>5</v>
      </c>
    </row>
    <row r="12" spans="1:7" x14ac:dyDescent="0.3">
      <c r="A12">
        <v>11</v>
      </c>
      <c r="B12">
        <v>100</v>
      </c>
      <c r="C12">
        <v>25</v>
      </c>
      <c r="D12">
        <v>15</v>
      </c>
      <c r="E12">
        <v>0.57999999999999996</v>
      </c>
      <c r="F12">
        <f t="shared" si="1"/>
        <v>0.34799999999999998</v>
      </c>
      <c r="G12">
        <v>6</v>
      </c>
    </row>
    <row r="13" spans="1:7" x14ac:dyDescent="0.3">
      <c r="A13">
        <v>12</v>
      </c>
      <c r="B13">
        <v>80</v>
      </c>
      <c r="C13">
        <v>20</v>
      </c>
      <c r="D13">
        <v>25</v>
      </c>
      <c r="E13">
        <v>0.95599999999999996</v>
      </c>
      <c r="F13">
        <f t="shared" si="1"/>
        <v>0.5736</v>
      </c>
      <c r="G13">
        <v>6</v>
      </c>
    </row>
    <row r="14" spans="1:7" x14ac:dyDescent="0.3">
      <c r="A14">
        <v>13</v>
      </c>
      <c r="B14">
        <v>90</v>
      </c>
      <c r="C14">
        <v>25</v>
      </c>
      <c r="D14">
        <v>25</v>
      </c>
      <c r="E14">
        <v>0.57999999999999996</v>
      </c>
      <c r="F14">
        <f t="shared" si="1"/>
        <v>0.34799999999999998</v>
      </c>
      <c r="G14">
        <v>7</v>
      </c>
    </row>
    <row r="15" spans="1:7" x14ac:dyDescent="0.3">
      <c r="A15">
        <v>14</v>
      </c>
      <c r="B15">
        <v>120</v>
      </c>
      <c r="C15">
        <v>20</v>
      </c>
      <c r="D15">
        <v>15</v>
      </c>
      <c r="E15">
        <v>0.82499999999999996</v>
      </c>
      <c r="F15">
        <f t="shared" si="1"/>
        <v>0.49499999999999994</v>
      </c>
      <c r="G15">
        <v>7</v>
      </c>
    </row>
    <row r="16" spans="1:7" x14ac:dyDescent="0.3">
      <c r="A16">
        <v>15</v>
      </c>
      <c r="B16">
        <v>120</v>
      </c>
      <c r="C16">
        <v>20</v>
      </c>
      <c r="D16">
        <v>30</v>
      </c>
      <c r="E16">
        <v>0.91500000000000004</v>
      </c>
      <c r="F16">
        <f t="shared" si="1"/>
        <v>0.54900000000000004</v>
      </c>
      <c r="G16">
        <v>8</v>
      </c>
    </row>
    <row r="17" spans="1:7" x14ac:dyDescent="0.3">
      <c r="A17">
        <v>16</v>
      </c>
      <c r="B17">
        <v>90</v>
      </c>
      <c r="C17">
        <v>20</v>
      </c>
      <c r="D17">
        <v>20</v>
      </c>
      <c r="E17">
        <v>0.72</v>
      </c>
      <c r="F17">
        <f t="shared" si="1"/>
        <v>0.432</v>
      </c>
      <c r="G17">
        <v>8</v>
      </c>
    </row>
    <row r="18" spans="1:7" x14ac:dyDescent="0.3">
      <c r="A18">
        <v>17</v>
      </c>
      <c r="B18">
        <v>120</v>
      </c>
      <c r="C18">
        <v>30</v>
      </c>
      <c r="D18">
        <v>20</v>
      </c>
      <c r="E18">
        <v>0.58099999999999996</v>
      </c>
      <c r="F18">
        <f t="shared" si="1"/>
        <v>0.34859999999999997</v>
      </c>
      <c r="G18">
        <v>9</v>
      </c>
    </row>
    <row r="19" spans="1:7" x14ac:dyDescent="0.3">
      <c r="A19">
        <v>18</v>
      </c>
      <c r="B19">
        <v>50</v>
      </c>
      <c r="C19">
        <v>25</v>
      </c>
      <c r="D19">
        <v>25</v>
      </c>
      <c r="E19">
        <v>0.91500000000000004</v>
      </c>
      <c r="F19">
        <f t="shared" si="0"/>
        <v>0.54900000000000004</v>
      </c>
      <c r="G19">
        <v>9</v>
      </c>
    </row>
    <row r="20" spans="1:7" x14ac:dyDescent="0.3">
      <c r="A20">
        <v>19</v>
      </c>
      <c r="B20">
        <v>60</v>
      </c>
      <c r="C20">
        <v>30</v>
      </c>
      <c r="D20">
        <v>15</v>
      </c>
      <c r="E20">
        <v>0.68500000000000005</v>
      </c>
      <c r="F20">
        <f t="shared" si="0"/>
        <v>0.41100000000000003</v>
      </c>
      <c r="G20">
        <v>10</v>
      </c>
    </row>
    <row r="21" spans="1:7" x14ac:dyDescent="0.3">
      <c r="A21">
        <v>20</v>
      </c>
      <c r="B21">
        <v>140</v>
      </c>
      <c r="C21">
        <v>30</v>
      </c>
      <c r="D21">
        <v>30</v>
      </c>
      <c r="E21">
        <v>0.68500000000000005</v>
      </c>
      <c r="F21">
        <f t="shared" si="0"/>
        <v>0.41100000000000003</v>
      </c>
      <c r="G21">
        <v>10</v>
      </c>
    </row>
  </sheetData>
  <pageMargins left="0.7" right="0.7" top="0.78740157499999996" bottom="0.78740157499999996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8"/>
  <sheetViews>
    <sheetView workbookViewId="0">
      <selection activeCell="B10" sqref="B10"/>
    </sheetView>
  </sheetViews>
  <sheetFormatPr baseColWidth="10" defaultRowHeight="14.4" x14ac:dyDescent="0.3"/>
  <sheetData>
    <row r="1" spans="1:6" x14ac:dyDescent="0.3">
      <c r="A1" t="s">
        <v>13</v>
      </c>
      <c r="D1" t="s">
        <v>9</v>
      </c>
    </row>
    <row r="2" spans="1:6" x14ac:dyDescent="0.3">
      <c r="A2" t="s">
        <v>12</v>
      </c>
      <c r="B2">
        <v>1</v>
      </c>
      <c r="C2">
        <v>2</v>
      </c>
      <c r="D2">
        <v>3</v>
      </c>
      <c r="E2">
        <v>4</v>
      </c>
      <c r="F2">
        <v>5</v>
      </c>
    </row>
    <row r="3" spans="1:6" x14ac:dyDescent="0.3">
      <c r="A3">
        <v>1</v>
      </c>
      <c r="B3">
        <v>0.51</v>
      </c>
      <c r="C3">
        <v>1.78</v>
      </c>
      <c r="D3">
        <v>1.73</v>
      </c>
      <c r="E3">
        <v>0.88</v>
      </c>
      <c r="F3">
        <v>0.77</v>
      </c>
    </row>
    <row r="4" spans="1:6" x14ac:dyDescent="0.3">
      <c r="A4">
        <v>2</v>
      </c>
      <c r="B4">
        <v>2.2799999999999998</v>
      </c>
      <c r="C4">
        <v>1.17</v>
      </c>
      <c r="D4">
        <v>1.76</v>
      </c>
      <c r="E4">
        <v>0.86</v>
      </c>
      <c r="F4">
        <v>0.67</v>
      </c>
    </row>
    <row r="5" spans="1:6" x14ac:dyDescent="0.3">
      <c r="A5">
        <v>3</v>
      </c>
      <c r="B5">
        <v>1.41</v>
      </c>
      <c r="C5">
        <v>0.75</v>
      </c>
      <c r="D5">
        <v>0.99</v>
      </c>
      <c r="E5">
        <v>1.75</v>
      </c>
      <c r="F5">
        <v>0.95</v>
      </c>
    </row>
    <row r="6" spans="1:6" x14ac:dyDescent="0.3">
      <c r="A6">
        <v>4</v>
      </c>
      <c r="B6">
        <v>1.55</v>
      </c>
      <c r="C6">
        <v>1.21</v>
      </c>
      <c r="D6">
        <v>1.86</v>
      </c>
      <c r="E6">
        <v>2.16</v>
      </c>
      <c r="F6">
        <v>1.71</v>
      </c>
    </row>
    <row r="7" spans="1:6" x14ac:dyDescent="0.3">
      <c r="A7">
        <v>6</v>
      </c>
      <c r="B7">
        <v>0.78</v>
      </c>
      <c r="C7">
        <v>1.58</v>
      </c>
      <c r="D7">
        <v>1.56</v>
      </c>
      <c r="E7">
        <v>1.52</v>
      </c>
      <c r="F7">
        <v>1.52</v>
      </c>
    </row>
    <row r="8" spans="1:6" x14ac:dyDescent="0.3">
      <c r="A8">
        <v>7</v>
      </c>
      <c r="B8">
        <v>0.99</v>
      </c>
      <c r="C8">
        <v>1.41</v>
      </c>
      <c r="D8">
        <v>0.85</v>
      </c>
      <c r="E8">
        <v>0.92</v>
      </c>
      <c r="F8">
        <v>1.32</v>
      </c>
    </row>
  </sheetData>
  <pageMargins left="0.7" right="0.7" top="0.78740157499999996" bottom="0.78740157499999996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V8"/>
  <sheetViews>
    <sheetView workbookViewId="0">
      <selection activeCell="A4" sqref="A4"/>
    </sheetView>
  </sheetViews>
  <sheetFormatPr baseColWidth="10" defaultRowHeight="14.4" x14ac:dyDescent="0.3"/>
  <cols>
    <col min="3" max="7" width="11.77734375" bestFit="1" customWidth="1"/>
    <col min="8" max="8" width="12.44140625" bestFit="1" customWidth="1"/>
    <col min="9" max="9" width="11.77734375" bestFit="1" customWidth="1"/>
    <col min="10" max="10" width="15.44140625" bestFit="1" customWidth="1"/>
    <col min="11" max="11" width="11.77734375" bestFit="1" customWidth="1"/>
    <col min="12" max="12" width="19.5546875" bestFit="1" customWidth="1"/>
    <col min="13" max="13" width="11.77734375" bestFit="1" customWidth="1"/>
    <col min="14" max="14" width="24.6640625" bestFit="1" customWidth="1"/>
    <col min="15" max="15" width="12.44140625" bestFit="1" customWidth="1"/>
    <col min="16" max="16" width="30.77734375" bestFit="1" customWidth="1"/>
    <col min="17" max="17" width="17.5546875" bestFit="1" customWidth="1"/>
    <col min="18" max="18" width="38" bestFit="1" customWidth="1"/>
    <col min="19" max="19" width="23.6640625" bestFit="1" customWidth="1"/>
    <col min="20" max="20" width="47.21875" bestFit="1" customWidth="1"/>
    <col min="21" max="21" width="31.88671875" bestFit="1" customWidth="1"/>
    <col min="22" max="22" width="56.33203125" bestFit="1" customWidth="1"/>
  </cols>
  <sheetData>
    <row r="1" spans="1:22" x14ac:dyDescent="0.3">
      <c r="A1" t="s">
        <v>11</v>
      </c>
      <c r="C1" t="s">
        <v>0</v>
      </c>
    </row>
    <row r="2" spans="1:22" x14ac:dyDescent="0.3">
      <c r="C2">
        <v>0.8</v>
      </c>
      <c r="D2">
        <v>0.8</v>
      </c>
      <c r="E2">
        <v>1.1000000000000001</v>
      </c>
      <c r="F2">
        <v>1.1000000000000001</v>
      </c>
      <c r="G2">
        <v>0.5</v>
      </c>
      <c r="H2">
        <v>0.5</v>
      </c>
      <c r="I2">
        <v>1.5</v>
      </c>
      <c r="J2">
        <v>1.5</v>
      </c>
      <c r="K2">
        <v>0.7</v>
      </c>
      <c r="L2">
        <v>0.7</v>
      </c>
      <c r="M2">
        <v>0.6</v>
      </c>
      <c r="N2">
        <v>0.6</v>
      </c>
      <c r="O2">
        <v>0.9</v>
      </c>
      <c r="P2">
        <v>0.9</v>
      </c>
      <c r="Q2">
        <v>1.6</v>
      </c>
      <c r="R2">
        <v>1.6</v>
      </c>
      <c r="S2">
        <v>1.3</v>
      </c>
      <c r="T2">
        <v>1.3</v>
      </c>
      <c r="U2">
        <v>1.7</v>
      </c>
      <c r="V2">
        <v>1.7</v>
      </c>
    </row>
    <row r="3" spans="1:22" x14ac:dyDescent="0.3">
      <c r="A3" t="s">
        <v>18</v>
      </c>
      <c r="B3" t="s">
        <v>17</v>
      </c>
      <c r="C3">
        <v>1</v>
      </c>
      <c r="D3">
        <v>2</v>
      </c>
      <c r="E3">
        <v>3</v>
      </c>
      <c r="F3">
        <v>4</v>
      </c>
      <c r="G3">
        <v>5</v>
      </c>
      <c r="H3">
        <v>6</v>
      </c>
      <c r="I3">
        <v>7</v>
      </c>
      <c r="J3">
        <v>8</v>
      </c>
      <c r="K3">
        <v>9</v>
      </c>
      <c r="L3">
        <v>10</v>
      </c>
      <c r="M3">
        <v>11</v>
      </c>
      <c r="N3">
        <v>12</v>
      </c>
      <c r="O3">
        <v>13</v>
      </c>
      <c r="P3">
        <v>14</v>
      </c>
      <c r="Q3">
        <v>15</v>
      </c>
      <c r="R3">
        <v>16</v>
      </c>
      <c r="S3">
        <v>17</v>
      </c>
      <c r="T3">
        <v>18</v>
      </c>
      <c r="U3">
        <v>19</v>
      </c>
      <c r="V3">
        <v>20</v>
      </c>
    </row>
    <row r="4" spans="1:22" x14ac:dyDescent="0.3">
      <c r="A4">
        <v>3.5999999999999997E-2</v>
      </c>
      <c r="B4">
        <v>1</v>
      </c>
      <c r="C4" s="1">
        <f>A4*$C$2</f>
        <v>2.8799999999999999E-2</v>
      </c>
      <c r="D4" s="1">
        <f t="shared" ref="D4:V4" si="0">$A$4*D2</f>
        <v>2.8799999999999999E-2</v>
      </c>
      <c r="E4" s="1">
        <f t="shared" si="0"/>
        <v>3.9600000000000003E-2</v>
      </c>
      <c r="F4" s="1">
        <f t="shared" si="0"/>
        <v>3.9600000000000003E-2</v>
      </c>
      <c r="G4" s="1">
        <f t="shared" si="0"/>
        <v>1.7999999999999999E-2</v>
      </c>
      <c r="H4" s="1">
        <f t="shared" si="0"/>
        <v>1.7999999999999999E-2</v>
      </c>
      <c r="I4" s="1">
        <f t="shared" si="0"/>
        <v>5.3999999999999992E-2</v>
      </c>
      <c r="J4" s="1">
        <f t="shared" si="0"/>
        <v>5.3999999999999992E-2</v>
      </c>
      <c r="K4" s="1">
        <f t="shared" si="0"/>
        <v>2.5199999999999997E-2</v>
      </c>
      <c r="L4" s="1">
        <f t="shared" si="0"/>
        <v>2.5199999999999997E-2</v>
      </c>
      <c r="M4" s="1">
        <f t="shared" si="0"/>
        <v>2.1599999999999998E-2</v>
      </c>
      <c r="N4" s="1">
        <f t="shared" si="0"/>
        <v>2.1599999999999998E-2</v>
      </c>
      <c r="O4" s="1">
        <f t="shared" si="0"/>
        <v>3.2399999999999998E-2</v>
      </c>
      <c r="P4" s="1">
        <f t="shared" si="0"/>
        <v>3.2399999999999998E-2</v>
      </c>
      <c r="Q4" s="1">
        <f t="shared" si="0"/>
        <v>5.7599999999999998E-2</v>
      </c>
      <c r="R4" s="1">
        <f t="shared" si="0"/>
        <v>5.7599999999999998E-2</v>
      </c>
      <c r="S4" s="1">
        <f t="shared" si="0"/>
        <v>4.6800000000000001E-2</v>
      </c>
      <c r="T4" s="1">
        <f t="shared" si="0"/>
        <v>4.6800000000000001E-2</v>
      </c>
      <c r="U4" s="1">
        <f t="shared" si="0"/>
        <v>6.1199999999999991E-2</v>
      </c>
      <c r="V4" s="1">
        <f t="shared" si="0"/>
        <v>6.1199999999999991E-2</v>
      </c>
    </row>
    <row r="5" spans="1:22" x14ac:dyDescent="0.3">
      <c r="A5">
        <v>4.1000000000000002E-2</v>
      </c>
      <c r="B5">
        <v>2</v>
      </c>
      <c r="C5" s="1">
        <f>$A$5*C2</f>
        <v>3.2800000000000003E-2</v>
      </c>
      <c r="D5" s="1">
        <f t="shared" ref="D5:V5" si="1">$A$5*D2</f>
        <v>3.2800000000000003E-2</v>
      </c>
      <c r="E5" s="1">
        <f t="shared" si="1"/>
        <v>4.5100000000000008E-2</v>
      </c>
      <c r="F5" s="1">
        <f t="shared" si="1"/>
        <v>4.5100000000000008E-2</v>
      </c>
      <c r="G5" s="1">
        <f t="shared" si="1"/>
        <v>2.0500000000000001E-2</v>
      </c>
      <c r="H5" s="1">
        <f t="shared" si="1"/>
        <v>2.0500000000000001E-2</v>
      </c>
      <c r="I5" s="1">
        <f t="shared" si="1"/>
        <v>6.1499999999999999E-2</v>
      </c>
      <c r="J5" s="1">
        <f t="shared" si="1"/>
        <v>6.1499999999999999E-2</v>
      </c>
      <c r="K5" s="1">
        <f t="shared" si="1"/>
        <v>2.87E-2</v>
      </c>
      <c r="L5" s="1">
        <f t="shared" si="1"/>
        <v>2.87E-2</v>
      </c>
      <c r="M5" s="1">
        <f t="shared" si="1"/>
        <v>2.46E-2</v>
      </c>
      <c r="N5" s="1">
        <f t="shared" si="1"/>
        <v>2.46E-2</v>
      </c>
      <c r="O5" s="1">
        <f t="shared" si="1"/>
        <v>3.6900000000000002E-2</v>
      </c>
      <c r="P5" s="1">
        <f t="shared" si="1"/>
        <v>3.6900000000000002E-2</v>
      </c>
      <c r="Q5" s="1">
        <f t="shared" si="1"/>
        <v>6.5600000000000006E-2</v>
      </c>
      <c r="R5" s="1">
        <f t="shared" si="1"/>
        <v>6.5600000000000006E-2</v>
      </c>
      <c r="S5" s="1">
        <f t="shared" si="1"/>
        <v>5.3300000000000007E-2</v>
      </c>
      <c r="T5" s="1">
        <f t="shared" si="1"/>
        <v>5.3300000000000007E-2</v>
      </c>
      <c r="U5" s="1">
        <f t="shared" si="1"/>
        <v>6.9699999999999998E-2</v>
      </c>
      <c r="V5" s="1">
        <f t="shared" si="1"/>
        <v>6.9699999999999998E-2</v>
      </c>
    </row>
    <row r="6" spans="1:22" x14ac:dyDescent="0.3">
      <c r="A6">
        <v>8.2000000000000003E-2</v>
      </c>
      <c r="B6">
        <v>3</v>
      </c>
      <c r="C6" s="1">
        <f>$A$6*C2</f>
        <v>6.5600000000000006E-2</v>
      </c>
      <c r="D6" s="1">
        <f t="shared" ref="D6:V6" si="2">$A$6*D2</f>
        <v>6.5600000000000006E-2</v>
      </c>
      <c r="E6" s="1">
        <f t="shared" si="2"/>
        <v>9.0200000000000016E-2</v>
      </c>
      <c r="F6" s="1">
        <f t="shared" si="2"/>
        <v>9.0200000000000016E-2</v>
      </c>
      <c r="G6" s="1">
        <f t="shared" si="2"/>
        <v>4.1000000000000002E-2</v>
      </c>
      <c r="H6" s="1">
        <f t="shared" si="2"/>
        <v>4.1000000000000002E-2</v>
      </c>
      <c r="I6" s="1">
        <f t="shared" si="2"/>
        <v>0.123</v>
      </c>
      <c r="J6" s="1">
        <f t="shared" si="2"/>
        <v>0.123</v>
      </c>
      <c r="K6" s="1">
        <f t="shared" si="2"/>
        <v>5.74E-2</v>
      </c>
      <c r="L6" s="1">
        <f t="shared" si="2"/>
        <v>5.74E-2</v>
      </c>
      <c r="M6" s="1">
        <f t="shared" si="2"/>
        <v>4.9200000000000001E-2</v>
      </c>
      <c r="N6" s="1">
        <f t="shared" si="2"/>
        <v>4.9200000000000001E-2</v>
      </c>
      <c r="O6" s="1">
        <f t="shared" si="2"/>
        <v>7.3800000000000004E-2</v>
      </c>
      <c r="P6" s="1">
        <f t="shared" si="2"/>
        <v>7.3800000000000004E-2</v>
      </c>
      <c r="Q6" s="1">
        <f t="shared" si="2"/>
        <v>0.13120000000000001</v>
      </c>
      <c r="R6" s="1">
        <f t="shared" si="2"/>
        <v>0.13120000000000001</v>
      </c>
      <c r="S6" s="1">
        <f t="shared" si="2"/>
        <v>0.10660000000000001</v>
      </c>
      <c r="T6" s="1">
        <f t="shared" si="2"/>
        <v>0.10660000000000001</v>
      </c>
      <c r="U6" s="1">
        <f t="shared" si="2"/>
        <v>0.1394</v>
      </c>
      <c r="V6" s="1">
        <f t="shared" si="2"/>
        <v>0.1394</v>
      </c>
    </row>
    <row r="7" spans="1:22" x14ac:dyDescent="0.3">
      <c r="A7">
        <v>5.5E-2</v>
      </c>
      <c r="B7">
        <v>4</v>
      </c>
      <c r="C7" s="1">
        <f>$A$7*C2</f>
        <v>4.4000000000000004E-2</v>
      </c>
      <c r="D7" s="1">
        <f t="shared" ref="D7:V7" si="3">$A$7*D2</f>
        <v>4.4000000000000004E-2</v>
      </c>
      <c r="E7" s="1">
        <f t="shared" si="3"/>
        <v>6.0500000000000005E-2</v>
      </c>
      <c r="F7" s="1">
        <f t="shared" si="3"/>
        <v>6.0500000000000005E-2</v>
      </c>
      <c r="G7" s="1">
        <f t="shared" si="3"/>
        <v>2.75E-2</v>
      </c>
      <c r="H7" s="1">
        <f t="shared" si="3"/>
        <v>2.75E-2</v>
      </c>
      <c r="I7" s="1">
        <f t="shared" si="3"/>
        <v>8.2500000000000004E-2</v>
      </c>
      <c r="J7" s="1">
        <f t="shared" si="3"/>
        <v>8.2500000000000004E-2</v>
      </c>
      <c r="K7" s="1">
        <f t="shared" si="3"/>
        <v>3.85E-2</v>
      </c>
      <c r="L7" s="1">
        <f t="shared" si="3"/>
        <v>3.85E-2</v>
      </c>
      <c r="M7" s="1">
        <f t="shared" si="3"/>
        <v>3.3000000000000002E-2</v>
      </c>
      <c r="N7" s="1">
        <f t="shared" si="3"/>
        <v>3.3000000000000002E-2</v>
      </c>
      <c r="O7" s="1">
        <f t="shared" si="3"/>
        <v>4.9500000000000002E-2</v>
      </c>
      <c r="P7" s="1">
        <f t="shared" si="3"/>
        <v>4.9500000000000002E-2</v>
      </c>
      <c r="Q7" s="1">
        <f t="shared" si="3"/>
        <v>8.8000000000000009E-2</v>
      </c>
      <c r="R7" s="1">
        <f t="shared" si="3"/>
        <v>8.8000000000000009E-2</v>
      </c>
      <c r="S7" s="1">
        <f t="shared" si="3"/>
        <v>7.1500000000000008E-2</v>
      </c>
      <c r="T7" s="1">
        <f t="shared" si="3"/>
        <v>7.1500000000000008E-2</v>
      </c>
      <c r="U7" s="1">
        <f t="shared" si="3"/>
        <v>9.35E-2</v>
      </c>
      <c r="V7" s="1">
        <f t="shared" si="3"/>
        <v>9.35E-2</v>
      </c>
    </row>
    <row r="8" spans="1:22" x14ac:dyDescent="0.3">
      <c r="A8">
        <v>7.4999999999999997E-2</v>
      </c>
      <c r="B8">
        <v>5</v>
      </c>
      <c r="C8" s="1">
        <f>$A$8*C2</f>
        <v>0.06</v>
      </c>
      <c r="D8" s="1">
        <f t="shared" ref="D8:V8" si="4">$A$8*D2</f>
        <v>0.06</v>
      </c>
      <c r="E8" s="1">
        <f t="shared" si="4"/>
        <v>8.2500000000000004E-2</v>
      </c>
      <c r="F8" s="1">
        <f t="shared" si="4"/>
        <v>8.2500000000000004E-2</v>
      </c>
      <c r="G8" s="1">
        <f t="shared" si="4"/>
        <v>3.7499999999999999E-2</v>
      </c>
      <c r="H8" s="1">
        <f t="shared" si="4"/>
        <v>3.7499999999999999E-2</v>
      </c>
      <c r="I8" s="1">
        <f t="shared" si="4"/>
        <v>0.11249999999999999</v>
      </c>
      <c r="J8" s="1">
        <f t="shared" si="4"/>
        <v>0.11249999999999999</v>
      </c>
      <c r="K8" s="1">
        <f t="shared" si="4"/>
        <v>5.2499999999999998E-2</v>
      </c>
      <c r="L8" s="1">
        <f t="shared" si="4"/>
        <v>5.2499999999999998E-2</v>
      </c>
      <c r="M8" s="1">
        <f t="shared" si="4"/>
        <v>4.4999999999999998E-2</v>
      </c>
      <c r="N8" s="1">
        <f t="shared" si="4"/>
        <v>4.4999999999999998E-2</v>
      </c>
      <c r="O8" s="1">
        <f t="shared" si="4"/>
        <v>6.7500000000000004E-2</v>
      </c>
      <c r="P8" s="1">
        <f t="shared" si="4"/>
        <v>6.7500000000000004E-2</v>
      </c>
      <c r="Q8" s="1">
        <f t="shared" si="4"/>
        <v>0.12</v>
      </c>
      <c r="R8" s="1">
        <f t="shared" si="4"/>
        <v>0.12</v>
      </c>
      <c r="S8" s="1">
        <f t="shared" si="4"/>
        <v>9.7500000000000003E-2</v>
      </c>
      <c r="T8" s="1">
        <f t="shared" si="4"/>
        <v>9.7500000000000003E-2</v>
      </c>
      <c r="U8" s="1">
        <f t="shared" si="4"/>
        <v>0.1275</v>
      </c>
      <c r="V8" s="1">
        <f t="shared" si="4"/>
        <v>0.1275</v>
      </c>
    </row>
  </sheetData>
  <pageMargins left="0.7" right="0.7" top="0.78740157499999996" bottom="0.78740157499999996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V8"/>
  <sheetViews>
    <sheetView workbookViewId="0">
      <selection activeCell="A5" sqref="A5"/>
    </sheetView>
  </sheetViews>
  <sheetFormatPr baseColWidth="10" defaultRowHeight="14.4" x14ac:dyDescent="0.3"/>
  <cols>
    <col min="3" max="7" width="11.77734375" bestFit="1" customWidth="1"/>
    <col min="8" max="8" width="12.44140625" bestFit="1" customWidth="1"/>
    <col min="9" max="9" width="11.77734375" bestFit="1" customWidth="1"/>
    <col min="10" max="10" width="15.44140625" bestFit="1" customWidth="1"/>
    <col min="11" max="11" width="11.77734375" bestFit="1" customWidth="1"/>
    <col min="12" max="12" width="19.5546875" bestFit="1" customWidth="1"/>
    <col min="13" max="13" width="11.77734375" bestFit="1" customWidth="1"/>
    <col min="14" max="14" width="24.6640625" bestFit="1" customWidth="1"/>
    <col min="15" max="15" width="12.44140625" bestFit="1" customWidth="1"/>
    <col min="16" max="16" width="30.77734375" bestFit="1" customWidth="1"/>
    <col min="17" max="17" width="17.5546875" bestFit="1" customWidth="1"/>
    <col min="18" max="18" width="38" bestFit="1" customWidth="1"/>
    <col min="19" max="19" width="23.6640625" bestFit="1" customWidth="1"/>
    <col min="20" max="20" width="47.21875" bestFit="1" customWidth="1"/>
    <col min="21" max="21" width="31.88671875" bestFit="1" customWidth="1"/>
    <col min="22" max="22" width="56.33203125" bestFit="1" customWidth="1"/>
  </cols>
  <sheetData>
    <row r="1" spans="1:22" x14ac:dyDescent="0.3">
      <c r="A1" t="s">
        <v>19</v>
      </c>
      <c r="C1" t="s">
        <v>0</v>
      </c>
    </row>
    <row r="2" spans="1:22" x14ac:dyDescent="0.3">
      <c r="C2">
        <v>0.8</v>
      </c>
      <c r="D2">
        <v>0.8</v>
      </c>
      <c r="E2">
        <v>1.1000000000000001</v>
      </c>
      <c r="F2">
        <v>1.1000000000000001</v>
      </c>
      <c r="G2">
        <v>0.5</v>
      </c>
      <c r="H2">
        <v>0.5</v>
      </c>
      <c r="I2">
        <v>1.5</v>
      </c>
      <c r="J2">
        <v>1.5</v>
      </c>
      <c r="K2">
        <v>0.7</v>
      </c>
      <c r="L2">
        <v>0.7</v>
      </c>
      <c r="M2">
        <v>0.6</v>
      </c>
      <c r="N2">
        <v>0.6</v>
      </c>
      <c r="O2">
        <v>0.9</v>
      </c>
      <c r="P2">
        <v>0.9</v>
      </c>
      <c r="Q2">
        <v>1.6</v>
      </c>
      <c r="R2">
        <v>1.6</v>
      </c>
      <c r="S2">
        <v>1.3</v>
      </c>
      <c r="T2">
        <v>1.3</v>
      </c>
      <c r="U2">
        <v>1.7</v>
      </c>
      <c r="V2">
        <v>1.7</v>
      </c>
    </row>
    <row r="3" spans="1:22" x14ac:dyDescent="0.3">
      <c r="A3" t="s">
        <v>18</v>
      </c>
      <c r="B3" t="s">
        <v>17</v>
      </c>
      <c r="C3">
        <v>1</v>
      </c>
      <c r="D3">
        <v>2</v>
      </c>
      <c r="E3">
        <v>3</v>
      </c>
      <c r="F3">
        <v>4</v>
      </c>
      <c r="G3">
        <v>5</v>
      </c>
      <c r="H3">
        <v>6</v>
      </c>
      <c r="I3">
        <v>7</v>
      </c>
      <c r="J3">
        <v>8</v>
      </c>
      <c r="K3">
        <v>9</v>
      </c>
      <c r="L3">
        <v>10</v>
      </c>
      <c r="M3">
        <v>11</v>
      </c>
      <c r="N3">
        <v>12</v>
      </c>
      <c r="O3">
        <v>13</v>
      </c>
      <c r="P3">
        <v>14</v>
      </c>
      <c r="Q3">
        <v>15</v>
      </c>
      <c r="R3">
        <v>16</v>
      </c>
      <c r="S3">
        <v>17</v>
      </c>
      <c r="T3">
        <v>18</v>
      </c>
      <c r="U3">
        <v>19</v>
      </c>
      <c r="V3">
        <v>20</v>
      </c>
    </row>
    <row r="4" spans="1:22" x14ac:dyDescent="0.3">
      <c r="A4">
        <v>2.5000000000000001E-2</v>
      </c>
      <c r="B4">
        <v>1</v>
      </c>
      <c r="C4" s="1">
        <f>A4*$C$2</f>
        <v>2.0000000000000004E-2</v>
      </c>
      <c r="D4" s="1">
        <f t="shared" ref="D4:V4" si="0">$A$4*D2</f>
        <v>2.0000000000000004E-2</v>
      </c>
      <c r="E4" s="1">
        <f t="shared" si="0"/>
        <v>2.7500000000000004E-2</v>
      </c>
      <c r="F4" s="1">
        <f t="shared" si="0"/>
        <v>2.7500000000000004E-2</v>
      </c>
      <c r="G4" s="1">
        <f t="shared" si="0"/>
        <v>1.2500000000000001E-2</v>
      </c>
      <c r="H4" s="1">
        <f t="shared" si="0"/>
        <v>1.2500000000000001E-2</v>
      </c>
      <c r="I4" s="1">
        <f t="shared" si="0"/>
        <v>3.7500000000000006E-2</v>
      </c>
      <c r="J4" s="1">
        <f t="shared" si="0"/>
        <v>3.7500000000000006E-2</v>
      </c>
      <c r="K4" s="1">
        <f t="shared" si="0"/>
        <v>1.7499999999999998E-2</v>
      </c>
      <c r="L4" s="1">
        <f t="shared" si="0"/>
        <v>1.7499999999999998E-2</v>
      </c>
      <c r="M4" s="1">
        <f t="shared" si="0"/>
        <v>1.4999999999999999E-2</v>
      </c>
      <c r="N4" s="1">
        <f t="shared" si="0"/>
        <v>1.4999999999999999E-2</v>
      </c>
      <c r="O4" s="1">
        <f t="shared" si="0"/>
        <v>2.2500000000000003E-2</v>
      </c>
      <c r="P4" s="1">
        <f t="shared" si="0"/>
        <v>2.2500000000000003E-2</v>
      </c>
      <c r="Q4" s="1">
        <f t="shared" si="0"/>
        <v>4.0000000000000008E-2</v>
      </c>
      <c r="R4" s="1">
        <f t="shared" si="0"/>
        <v>4.0000000000000008E-2</v>
      </c>
      <c r="S4" s="1">
        <f t="shared" si="0"/>
        <v>3.2500000000000001E-2</v>
      </c>
      <c r="T4" s="1">
        <f t="shared" si="0"/>
        <v>3.2500000000000001E-2</v>
      </c>
      <c r="U4" s="1">
        <f t="shared" si="0"/>
        <v>4.2500000000000003E-2</v>
      </c>
      <c r="V4" s="1">
        <f t="shared" si="0"/>
        <v>4.2500000000000003E-2</v>
      </c>
    </row>
    <row r="5" spans="1:22" x14ac:dyDescent="0.3">
      <c r="A5">
        <v>7.8E-2</v>
      </c>
      <c r="B5">
        <v>2</v>
      </c>
      <c r="C5" s="1">
        <f>$A$5*C2</f>
        <v>6.2400000000000004E-2</v>
      </c>
      <c r="D5" s="1">
        <f t="shared" ref="D5:V5" si="1">$A$5*D2</f>
        <v>6.2400000000000004E-2</v>
      </c>
      <c r="E5" s="1">
        <f t="shared" si="1"/>
        <v>8.5800000000000001E-2</v>
      </c>
      <c r="F5" s="1">
        <f t="shared" si="1"/>
        <v>8.5800000000000001E-2</v>
      </c>
      <c r="G5" s="1">
        <f t="shared" si="1"/>
        <v>3.9E-2</v>
      </c>
      <c r="H5" s="1">
        <f t="shared" si="1"/>
        <v>3.9E-2</v>
      </c>
      <c r="I5" s="1">
        <f t="shared" si="1"/>
        <v>0.11699999999999999</v>
      </c>
      <c r="J5" s="1">
        <f t="shared" si="1"/>
        <v>0.11699999999999999</v>
      </c>
      <c r="K5" s="1">
        <f t="shared" si="1"/>
        <v>5.4599999999999996E-2</v>
      </c>
      <c r="L5" s="1">
        <f t="shared" si="1"/>
        <v>5.4599999999999996E-2</v>
      </c>
      <c r="M5" s="1">
        <f t="shared" si="1"/>
        <v>4.6800000000000001E-2</v>
      </c>
      <c r="N5" s="1">
        <f t="shared" si="1"/>
        <v>4.6800000000000001E-2</v>
      </c>
      <c r="O5" s="1">
        <f t="shared" si="1"/>
        <v>7.0199999999999999E-2</v>
      </c>
      <c r="P5" s="1">
        <f t="shared" si="1"/>
        <v>7.0199999999999999E-2</v>
      </c>
      <c r="Q5" s="1">
        <f t="shared" si="1"/>
        <v>0.12480000000000001</v>
      </c>
      <c r="R5" s="1">
        <f t="shared" si="1"/>
        <v>0.12480000000000001</v>
      </c>
      <c r="S5" s="1">
        <f t="shared" si="1"/>
        <v>0.1014</v>
      </c>
      <c r="T5" s="1">
        <f t="shared" si="1"/>
        <v>0.1014</v>
      </c>
      <c r="U5" s="1">
        <f t="shared" si="1"/>
        <v>0.1326</v>
      </c>
      <c r="V5" s="1">
        <f t="shared" si="1"/>
        <v>0.1326</v>
      </c>
    </row>
    <row r="6" spans="1:22" x14ac:dyDescent="0.3">
      <c r="A6">
        <v>9.5000000000000001E-2</v>
      </c>
      <c r="B6">
        <v>3</v>
      </c>
      <c r="C6" s="1">
        <f>$A$6*C2</f>
        <v>7.6000000000000012E-2</v>
      </c>
      <c r="D6" s="1">
        <f t="shared" ref="D6:V6" si="2">$A$6*D2</f>
        <v>7.6000000000000012E-2</v>
      </c>
      <c r="E6" s="1">
        <f t="shared" si="2"/>
        <v>0.10450000000000001</v>
      </c>
      <c r="F6" s="1">
        <f t="shared" si="2"/>
        <v>0.10450000000000001</v>
      </c>
      <c r="G6" s="1">
        <f t="shared" si="2"/>
        <v>4.7500000000000001E-2</v>
      </c>
      <c r="H6" s="1">
        <f t="shared" si="2"/>
        <v>4.7500000000000001E-2</v>
      </c>
      <c r="I6" s="1">
        <f t="shared" si="2"/>
        <v>0.14250000000000002</v>
      </c>
      <c r="J6" s="1">
        <f t="shared" si="2"/>
        <v>0.14250000000000002</v>
      </c>
      <c r="K6" s="1">
        <f t="shared" si="2"/>
        <v>6.649999999999999E-2</v>
      </c>
      <c r="L6" s="1">
        <f t="shared" si="2"/>
        <v>6.649999999999999E-2</v>
      </c>
      <c r="M6" s="1">
        <f t="shared" si="2"/>
        <v>5.6999999999999995E-2</v>
      </c>
      <c r="N6" s="1">
        <f t="shared" si="2"/>
        <v>5.6999999999999995E-2</v>
      </c>
      <c r="O6" s="1">
        <f t="shared" si="2"/>
        <v>8.5500000000000007E-2</v>
      </c>
      <c r="P6" s="1">
        <f t="shared" si="2"/>
        <v>8.5500000000000007E-2</v>
      </c>
      <c r="Q6" s="1">
        <f t="shared" si="2"/>
        <v>0.15200000000000002</v>
      </c>
      <c r="R6" s="1">
        <f t="shared" si="2"/>
        <v>0.15200000000000002</v>
      </c>
      <c r="S6" s="1">
        <f t="shared" si="2"/>
        <v>0.12350000000000001</v>
      </c>
      <c r="T6" s="1">
        <f t="shared" si="2"/>
        <v>0.12350000000000001</v>
      </c>
      <c r="U6" s="1">
        <f t="shared" si="2"/>
        <v>0.1615</v>
      </c>
      <c r="V6" s="1">
        <f t="shared" si="2"/>
        <v>0.1615</v>
      </c>
    </row>
    <row r="7" spans="1:22" x14ac:dyDescent="0.3">
      <c r="A7">
        <v>5.2999999999999999E-2</v>
      </c>
      <c r="B7">
        <v>4</v>
      </c>
      <c r="C7" s="1">
        <f>$A$7*C2</f>
        <v>4.24E-2</v>
      </c>
      <c r="D7" s="1">
        <f t="shared" ref="D7:V7" si="3">$A$7*D2</f>
        <v>4.24E-2</v>
      </c>
      <c r="E7" s="1">
        <f t="shared" si="3"/>
        <v>5.8300000000000005E-2</v>
      </c>
      <c r="F7" s="1">
        <f t="shared" si="3"/>
        <v>5.8300000000000005E-2</v>
      </c>
      <c r="G7" s="1">
        <f t="shared" si="3"/>
        <v>2.6499999999999999E-2</v>
      </c>
      <c r="H7" s="1">
        <f t="shared" si="3"/>
        <v>2.6499999999999999E-2</v>
      </c>
      <c r="I7" s="1">
        <f t="shared" si="3"/>
        <v>7.9500000000000001E-2</v>
      </c>
      <c r="J7" s="1">
        <f t="shared" si="3"/>
        <v>7.9500000000000001E-2</v>
      </c>
      <c r="K7" s="1">
        <f t="shared" si="3"/>
        <v>3.7099999999999994E-2</v>
      </c>
      <c r="L7" s="1">
        <f t="shared" si="3"/>
        <v>3.7099999999999994E-2</v>
      </c>
      <c r="M7" s="1">
        <f t="shared" si="3"/>
        <v>3.1799999999999995E-2</v>
      </c>
      <c r="N7" s="1">
        <f t="shared" si="3"/>
        <v>3.1799999999999995E-2</v>
      </c>
      <c r="O7" s="1">
        <f t="shared" si="3"/>
        <v>4.7699999999999999E-2</v>
      </c>
      <c r="P7" s="1">
        <f t="shared" si="3"/>
        <v>4.7699999999999999E-2</v>
      </c>
      <c r="Q7" s="1">
        <f t="shared" si="3"/>
        <v>8.48E-2</v>
      </c>
      <c r="R7" s="1">
        <f t="shared" si="3"/>
        <v>8.48E-2</v>
      </c>
      <c r="S7" s="1">
        <f t="shared" si="3"/>
        <v>6.8900000000000003E-2</v>
      </c>
      <c r="T7" s="1">
        <f t="shared" si="3"/>
        <v>6.8900000000000003E-2</v>
      </c>
      <c r="U7" s="1">
        <f t="shared" si="3"/>
        <v>9.01E-2</v>
      </c>
      <c r="V7" s="1">
        <f t="shared" si="3"/>
        <v>9.01E-2</v>
      </c>
    </row>
    <row r="8" spans="1:22" x14ac:dyDescent="0.3">
      <c r="A8">
        <v>4.8000000000000001E-2</v>
      </c>
      <c r="B8">
        <v>5</v>
      </c>
      <c r="C8" s="1">
        <f>$A$8*C2</f>
        <v>3.8400000000000004E-2</v>
      </c>
      <c r="D8" s="1">
        <f t="shared" ref="D8:V8" si="4">$A$8*D2</f>
        <v>3.8400000000000004E-2</v>
      </c>
      <c r="E8" s="1">
        <f t="shared" si="4"/>
        <v>5.2800000000000007E-2</v>
      </c>
      <c r="F8" s="1">
        <f t="shared" si="4"/>
        <v>5.2800000000000007E-2</v>
      </c>
      <c r="G8" s="1">
        <f t="shared" si="4"/>
        <v>2.4E-2</v>
      </c>
      <c r="H8" s="1">
        <f t="shared" si="4"/>
        <v>2.4E-2</v>
      </c>
      <c r="I8" s="1">
        <f t="shared" si="4"/>
        <v>7.2000000000000008E-2</v>
      </c>
      <c r="J8" s="1">
        <f t="shared" si="4"/>
        <v>7.2000000000000008E-2</v>
      </c>
      <c r="K8" s="1">
        <f t="shared" si="4"/>
        <v>3.3599999999999998E-2</v>
      </c>
      <c r="L8" s="1">
        <f t="shared" si="4"/>
        <v>3.3599999999999998E-2</v>
      </c>
      <c r="M8" s="1">
        <f t="shared" si="4"/>
        <v>2.8799999999999999E-2</v>
      </c>
      <c r="N8" s="1">
        <f t="shared" si="4"/>
        <v>2.8799999999999999E-2</v>
      </c>
      <c r="O8" s="1">
        <f t="shared" si="4"/>
        <v>4.3200000000000002E-2</v>
      </c>
      <c r="P8" s="1">
        <f t="shared" si="4"/>
        <v>4.3200000000000002E-2</v>
      </c>
      <c r="Q8" s="1">
        <f t="shared" si="4"/>
        <v>7.6800000000000007E-2</v>
      </c>
      <c r="R8" s="1">
        <f t="shared" si="4"/>
        <v>7.6800000000000007E-2</v>
      </c>
      <c r="S8" s="1">
        <f t="shared" si="4"/>
        <v>6.2400000000000004E-2</v>
      </c>
      <c r="T8" s="1">
        <f t="shared" si="4"/>
        <v>6.2400000000000004E-2</v>
      </c>
      <c r="U8" s="1">
        <f t="shared" si="4"/>
        <v>8.1600000000000006E-2</v>
      </c>
      <c r="V8" s="1">
        <f t="shared" si="4"/>
        <v>8.1600000000000006E-2</v>
      </c>
    </row>
  </sheetData>
  <pageMargins left="0.7" right="0.7" top="0.78740157499999996" bottom="0.78740157499999996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V8"/>
  <sheetViews>
    <sheetView workbookViewId="0">
      <selection activeCell="A9" sqref="A9"/>
    </sheetView>
  </sheetViews>
  <sheetFormatPr baseColWidth="10" defaultRowHeight="14.4" x14ac:dyDescent="0.3"/>
  <cols>
    <col min="3" max="7" width="11.77734375" bestFit="1" customWidth="1"/>
    <col min="8" max="8" width="12.44140625" bestFit="1" customWidth="1"/>
    <col min="9" max="9" width="11.77734375" bestFit="1" customWidth="1"/>
    <col min="10" max="10" width="15.44140625" bestFit="1" customWidth="1"/>
    <col min="11" max="11" width="11.77734375" bestFit="1" customWidth="1"/>
    <col min="12" max="12" width="19.5546875" bestFit="1" customWidth="1"/>
    <col min="13" max="13" width="11.77734375" bestFit="1" customWidth="1"/>
    <col min="14" max="14" width="24.6640625" bestFit="1" customWidth="1"/>
    <col min="15" max="15" width="12.44140625" bestFit="1" customWidth="1"/>
    <col min="16" max="16" width="30.77734375" bestFit="1" customWidth="1"/>
    <col min="17" max="17" width="17.5546875" bestFit="1" customWidth="1"/>
    <col min="18" max="18" width="38" bestFit="1" customWidth="1"/>
    <col min="19" max="19" width="23.6640625" bestFit="1" customWidth="1"/>
    <col min="20" max="20" width="47.21875" bestFit="1" customWidth="1"/>
    <col min="21" max="21" width="31.88671875" bestFit="1" customWidth="1"/>
    <col min="22" max="22" width="56.33203125" bestFit="1" customWidth="1"/>
  </cols>
  <sheetData>
    <row r="1" spans="1:22" x14ac:dyDescent="0.3">
      <c r="A1" t="s">
        <v>20</v>
      </c>
      <c r="C1" t="s">
        <v>0</v>
      </c>
    </row>
    <row r="2" spans="1:22" x14ac:dyDescent="0.3">
      <c r="C2">
        <v>0.8</v>
      </c>
      <c r="D2">
        <v>0.8</v>
      </c>
      <c r="E2">
        <v>1.1000000000000001</v>
      </c>
      <c r="F2">
        <v>1.1000000000000001</v>
      </c>
      <c r="G2">
        <v>0.5</v>
      </c>
      <c r="H2">
        <v>0.5</v>
      </c>
      <c r="I2">
        <v>1.5</v>
      </c>
      <c r="J2">
        <v>1.5</v>
      </c>
      <c r="K2">
        <v>0.7</v>
      </c>
      <c r="L2">
        <v>0.7</v>
      </c>
      <c r="M2">
        <v>0.6</v>
      </c>
      <c r="N2">
        <v>0.6</v>
      </c>
      <c r="O2">
        <v>0.9</v>
      </c>
      <c r="P2">
        <v>0.9</v>
      </c>
      <c r="Q2">
        <v>1.6</v>
      </c>
      <c r="R2">
        <v>1.6</v>
      </c>
      <c r="S2">
        <v>1.3</v>
      </c>
      <c r="T2">
        <v>1.3</v>
      </c>
      <c r="U2">
        <v>1.7</v>
      </c>
      <c r="V2">
        <v>1.7</v>
      </c>
    </row>
    <row r="3" spans="1:22" x14ac:dyDescent="0.3">
      <c r="A3" t="s">
        <v>18</v>
      </c>
      <c r="B3" t="s">
        <v>17</v>
      </c>
      <c r="C3">
        <v>1</v>
      </c>
      <c r="D3">
        <v>2</v>
      </c>
      <c r="E3">
        <v>3</v>
      </c>
      <c r="F3">
        <v>4</v>
      </c>
      <c r="G3">
        <v>5</v>
      </c>
      <c r="H3">
        <v>6</v>
      </c>
      <c r="I3">
        <v>7</v>
      </c>
      <c r="J3">
        <v>8</v>
      </c>
      <c r="K3">
        <v>9</v>
      </c>
      <c r="L3">
        <v>10</v>
      </c>
      <c r="M3">
        <v>11</v>
      </c>
      <c r="N3">
        <v>12</v>
      </c>
      <c r="O3">
        <v>13</v>
      </c>
      <c r="P3">
        <v>14</v>
      </c>
      <c r="Q3">
        <v>15</v>
      </c>
      <c r="R3">
        <v>16</v>
      </c>
      <c r="S3">
        <v>17</v>
      </c>
      <c r="T3">
        <v>18</v>
      </c>
      <c r="U3">
        <v>19</v>
      </c>
      <c r="V3">
        <v>20</v>
      </c>
    </row>
    <row r="4" spans="1:22" x14ac:dyDescent="0.3">
      <c r="A4">
        <v>4.2000000000000003E-2</v>
      </c>
      <c r="B4">
        <v>1</v>
      </c>
      <c r="C4" s="1">
        <f>A4*$C$2</f>
        <v>3.3600000000000005E-2</v>
      </c>
      <c r="D4" s="1">
        <f t="shared" ref="D4:V4" si="0">$A$4*D2</f>
        <v>3.3600000000000005E-2</v>
      </c>
      <c r="E4" s="1">
        <f t="shared" si="0"/>
        <v>4.6200000000000005E-2</v>
      </c>
      <c r="F4" s="1">
        <f t="shared" si="0"/>
        <v>4.6200000000000005E-2</v>
      </c>
      <c r="G4" s="1">
        <f t="shared" si="0"/>
        <v>2.1000000000000001E-2</v>
      </c>
      <c r="H4" s="1">
        <f t="shared" si="0"/>
        <v>2.1000000000000001E-2</v>
      </c>
      <c r="I4" s="1">
        <f t="shared" si="0"/>
        <v>6.3E-2</v>
      </c>
      <c r="J4" s="1">
        <f t="shared" si="0"/>
        <v>6.3E-2</v>
      </c>
      <c r="K4" s="1">
        <f t="shared" si="0"/>
        <v>2.9399999999999999E-2</v>
      </c>
      <c r="L4" s="1">
        <f t="shared" si="0"/>
        <v>2.9399999999999999E-2</v>
      </c>
      <c r="M4" s="1">
        <f t="shared" si="0"/>
        <v>2.52E-2</v>
      </c>
      <c r="N4" s="1">
        <f t="shared" si="0"/>
        <v>2.52E-2</v>
      </c>
      <c r="O4" s="1">
        <f t="shared" si="0"/>
        <v>3.78E-2</v>
      </c>
      <c r="P4" s="1">
        <f t="shared" si="0"/>
        <v>3.78E-2</v>
      </c>
      <c r="Q4" s="1">
        <f t="shared" si="0"/>
        <v>6.720000000000001E-2</v>
      </c>
      <c r="R4" s="1">
        <f t="shared" si="0"/>
        <v>6.720000000000001E-2</v>
      </c>
      <c r="S4" s="1">
        <f t="shared" si="0"/>
        <v>5.4600000000000003E-2</v>
      </c>
      <c r="T4" s="1">
        <f t="shared" si="0"/>
        <v>5.4600000000000003E-2</v>
      </c>
      <c r="U4" s="1">
        <f t="shared" si="0"/>
        <v>7.1400000000000005E-2</v>
      </c>
      <c r="V4" s="1">
        <f t="shared" si="0"/>
        <v>7.1400000000000005E-2</v>
      </c>
    </row>
    <row r="5" spans="1:22" x14ac:dyDescent="0.3">
      <c r="A5">
        <v>5.6000000000000001E-2</v>
      </c>
      <c r="B5">
        <v>2</v>
      </c>
      <c r="C5" s="1">
        <f>$A$5*C2</f>
        <v>4.4800000000000006E-2</v>
      </c>
      <c r="D5" s="1">
        <f t="shared" ref="D5:V5" si="1">$A$5*D2</f>
        <v>4.4800000000000006E-2</v>
      </c>
      <c r="E5" s="1">
        <f t="shared" si="1"/>
        <v>6.1600000000000009E-2</v>
      </c>
      <c r="F5" s="1">
        <f t="shared" si="1"/>
        <v>6.1600000000000009E-2</v>
      </c>
      <c r="G5" s="1">
        <f t="shared" si="1"/>
        <v>2.8000000000000001E-2</v>
      </c>
      <c r="H5" s="1">
        <f t="shared" si="1"/>
        <v>2.8000000000000001E-2</v>
      </c>
      <c r="I5" s="1">
        <f t="shared" si="1"/>
        <v>8.4000000000000005E-2</v>
      </c>
      <c r="J5" s="1">
        <f t="shared" si="1"/>
        <v>8.4000000000000005E-2</v>
      </c>
      <c r="K5" s="1">
        <f t="shared" si="1"/>
        <v>3.9199999999999999E-2</v>
      </c>
      <c r="L5" s="1">
        <f t="shared" si="1"/>
        <v>3.9199999999999999E-2</v>
      </c>
      <c r="M5" s="1">
        <f t="shared" si="1"/>
        <v>3.3599999999999998E-2</v>
      </c>
      <c r="N5" s="1">
        <f t="shared" si="1"/>
        <v>3.3599999999999998E-2</v>
      </c>
      <c r="O5" s="1">
        <f t="shared" si="1"/>
        <v>5.04E-2</v>
      </c>
      <c r="P5" s="1">
        <f t="shared" si="1"/>
        <v>5.04E-2</v>
      </c>
      <c r="Q5" s="1">
        <f t="shared" si="1"/>
        <v>8.9600000000000013E-2</v>
      </c>
      <c r="R5" s="1">
        <f t="shared" si="1"/>
        <v>8.9600000000000013E-2</v>
      </c>
      <c r="S5" s="1">
        <f t="shared" si="1"/>
        <v>7.2800000000000004E-2</v>
      </c>
      <c r="T5" s="1">
        <f t="shared" si="1"/>
        <v>7.2800000000000004E-2</v>
      </c>
      <c r="U5" s="1">
        <f t="shared" si="1"/>
        <v>9.5199999999999993E-2</v>
      </c>
      <c r="V5" s="1">
        <f t="shared" si="1"/>
        <v>9.5199999999999993E-2</v>
      </c>
    </row>
    <row r="6" spans="1:22" x14ac:dyDescent="0.3">
      <c r="A6">
        <v>8.5000000000000006E-2</v>
      </c>
      <c r="B6">
        <v>3</v>
      </c>
      <c r="C6" s="1">
        <f>$A$6*C2</f>
        <v>6.8000000000000005E-2</v>
      </c>
      <c r="D6" s="1">
        <f t="shared" ref="D6:V6" si="2">$A$6*D2</f>
        <v>6.8000000000000005E-2</v>
      </c>
      <c r="E6" s="1">
        <f t="shared" si="2"/>
        <v>9.3500000000000014E-2</v>
      </c>
      <c r="F6" s="1">
        <f t="shared" si="2"/>
        <v>9.3500000000000014E-2</v>
      </c>
      <c r="G6" s="1">
        <f t="shared" si="2"/>
        <v>4.2500000000000003E-2</v>
      </c>
      <c r="H6" s="1">
        <f t="shared" si="2"/>
        <v>4.2500000000000003E-2</v>
      </c>
      <c r="I6" s="1">
        <f t="shared" si="2"/>
        <v>0.1275</v>
      </c>
      <c r="J6" s="1">
        <f t="shared" si="2"/>
        <v>0.1275</v>
      </c>
      <c r="K6" s="1">
        <f t="shared" si="2"/>
        <v>5.9499999999999997E-2</v>
      </c>
      <c r="L6" s="1">
        <f t="shared" si="2"/>
        <v>5.9499999999999997E-2</v>
      </c>
      <c r="M6" s="1">
        <f t="shared" si="2"/>
        <v>5.1000000000000004E-2</v>
      </c>
      <c r="N6" s="1">
        <f t="shared" si="2"/>
        <v>5.1000000000000004E-2</v>
      </c>
      <c r="O6" s="1">
        <f t="shared" si="2"/>
        <v>7.6500000000000012E-2</v>
      </c>
      <c r="P6" s="1">
        <f t="shared" si="2"/>
        <v>7.6500000000000012E-2</v>
      </c>
      <c r="Q6" s="1">
        <f t="shared" si="2"/>
        <v>0.13600000000000001</v>
      </c>
      <c r="R6" s="1">
        <f t="shared" si="2"/>
        <v>0.13600000000000001</v>
      </c>
      <c r="S6" s="1">
        <f t="shared" si="2"/>
        <v>0.11050000000000001</v>
      </c>
      <c r="T6" s="1">
        <f t="shared" si="2"/>
        <v>0.11050000000000001</v>
      </c>
      <c r="U6" s="1">
        <f t="shared" si="2"/>
        <v>0.14450000000000002</v>
      </c>
      <c r="V6" s="1">
        <f t="shared" si="2"/>
        <v>0.14450000000000002</v>
      </c>
    </row>
    <row r="7" spans="1:22" x14ac:dyDescent="0.3">
      <c r="A7">
        <v>2.1000000000000001E-2</v>
      </c>
      <c r="B7">
        <v>4</v>
      </c>
      <c r="C7" s="1">
        <f>$A$7*C2</f>
        <v>1.6800000000000002E-2</v>
      </c>
      <c r="D7" s="1">
        <f t="shared" ref="D7:V7" si="3">$A$7*D2</f>
        <v>1.6800000000000002E-2</v>
      </c>
      <c r="E7" s="1">
        <f t="shared" si="3"/>
        <v>2.3100000000000002E-2</v>
      </c>
      <c r="F7" s="1">
        <f t="shared" si="3"/>
        <v>2.3100000000000002E-2</v>
      </c>
      <c r="G7" s="1">
        <f t="shared" si="3"/>
        <v>1.0500000000000001E-2</v>
      </c>
      <c r="H7" s="1">
        <f t="shared" si="3"/>
        <v>1.0500000000000001E-2</v>
      </c>
      <c r="I7" s="1">
        <f t="shared" si="3"/>
        <v>3.15E-2</v>
      </c>
      <c r="J7" s="1">
        <f t="shared" si="3"/>
        <v>3.15E-2</v>
      </c>
      <c r="K7" s="1">
        <f t="shared" si="3"/>
        <v>1.47E-2</v>
      </c>
      <c r="L7" s="1">
        <f t="shared" si="3"/>
        <v>1.47E-2</v>
      </c>
      <c r="M7" s="1">
        <f t="shared" si="3"/>
        <v>1.26E-2</v>
      </c>
      <c r="N7" s="1">
        <f t="shared" si="3"/>
        <v>1.26E-2</v>
      </c>
      <c r="O7" s="1">
        <f t="shared" si="3"/>
        <v>1.89E-2</v>
      </c>
      <c r="P7" s="1">
        <f t="shared" si="3"/>
        <v>1.89E-2</v>
      </c>
      <c r="Q7" s="1">
        <f t="shared" si="3"/>
        <v>3.3600000000000005E-2</v>
      </c>
      <c r="R7" s="1">
        <f t="shared" si="3"/>
        <v>3.3600000000000005E-2</v>
      </c>
      <c r="S7" s="1">
        <f t="shared" si="3"/>
        <v>2.7300000000000001E-2</v>
      </c>
      <c r="T7" s="1">
        <f t="shared" si="3"/>
        <v>2.7300000000000001E-2</v>
      </c>
      <c r="U7" s="1">
        <f t="shared" si="3"/>
        <v>3.5700000000000003E-2</v>
      </c>
      <c r="V7" s="1">
        <f t="shared" si="3"/>
        <v>3.5700000000000003E-2</v>
      </c>
    </row>
    <row r="8" spans="1:22" x14ac:dyDescent="0.3">
      <c r="A8">
        <v>0.105</v>
      </c>
      <c r="B8">
        <v>5</v>
      </c>
      <c r="C8" s="1">
        <f>$A$8*C2</f>
        <v>8.4000000000000005E-2</v>
      </c>
      <c r="D8" s="1">
        <f t="shared" ref="D8:V8" si="4">$A$8*D2</f>
        <v>8.4000000000000005E-2</v>
      </c>
      <c r="E8" s="1">
        <f t="shared" si="4"/>
        <v>0.11550000000000001</v>
      </c>
      <c r="F8" s="1">
        <f t="shared" si="4"/>
        <v>0.11550000000000001</v>
      </c>
      <c r="G8" s="1">
        <f t="shared" si="4"/>
        <v>5.2499999999999998E-2</v>
      </c>
      <c r="H8" s="1">
        <f t="shared" si="4"/>
        <v>5.2499999999999998E-2</v>
      </c>
      <c r="I8" s="1">
        <f t="shared" si="4"/>
        <v>0.1575</v>
      </c>
      <c r="J8" s="1">
        <f t="shared" si="4"/>
        <v>0.1575</v>
      </c>
      <c r="K8" s="1">
        <f t="shared" si="4"/>
        <v>7.3499999999999996E-2</v>
      </c>
      <c r="L8" s="1">
        <f t="shared" si="4"/>
        <v>7.3499999999999996E-2</v>
      </c>
      <c r="M8" s="1">
        <f t="shared" si="4"/>
        <v>6.3E-2</v>
      </c>
      <c r="N8" s="1">
        <f t="shared" si="4"/>
        <v>6.3E-2</v>
      </c>
      <c r="O8" s="1">
        <f t="shared" si="4"/>
        <v>9.4500000000000001E-2</v>
      </c>
      <c r="P8" s="1">
        <f t="shared" si="4"/>
        <v>9.4500000000000001E-2</v>
      </c>
      <c r="Q8" s="1">
        <f t="shared" si="4"/>
        <v>0.16800000000000001</v>
      </c>
      <c r="R8" s="1">
        <f t="shared" si="4"/>
        <v>0.16800000000000001</v>
      </c>
      <c r="S8" s="1">
        <f t="shared" si="4"/>
        <v>0.13650000000000001</v>
      </c>
      <c r="T8" s="1">
        <f t="shared" si="4"/>
        <v>0.13650000000000001</v>
      </c>
      <c r="U8" s="1">
        <f t="shared" si="4"/>
        <v>0.17849999999999999</v>
      </c>
      <c r="V8" s="1">
        <f t="shared" si="4"/>
        <v>0.17849999999999999</v>
      </c>
    </row>
  </sheetData>
  <pageMargins left="0.7" right="0.7" top="0.78740157499999996" bottom="0.78740157499999996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V8"/>
  <sheetViews>
    <sheetView workbookViewId="0">
      <selection activeCell="E23" sqref="E23"/>
    </sheetView>
  </sheetViews>
  <sheetFormatPr baseColWidth="10" defaultRowHeight="14.4" x14ac:dyDescent="0.3"/>
  <cols>
    <col min="3" max="7" width="11.77734375" bestFit="1" customWidth="1"/>
    <col min="8" max="8" width="12.44140625" bestFit="1" customWidth="1"/>
    <col min="9" max="9" width="11.77734375" bestFit="1" customWidth="1"/>
    <col min="10" max="10" width="15.44140625" bestFit="1" customWidth="1"/>
    <col min="11" max="11" width="11.77734375" bestFit="1" customWidth="1"/>
    <col min="12" max="12" width="19.5546875" bestFit="1" customWidth="1"/>
    <col min="13" max="13" width="11.77734375" bestFit="1" customWidth="1"/>
    <col min="14" max="14" width="24.6640625" bestFit="1" customWidth="1"/>
    <col min="15" max="15" width="12.44140625" bestFit="1" customWidth="1"/>
    <col min="16" max="16" width="30.77734375" bestFit="1" customWidth="1"/>
    <col min="17" max="17" width="17.5546875" bestFit="1" customWidth="1"/>
    <col min="18" max="18" width="38" bestFit="1" customWidth="1"/>
    <col min="19" max="19" width="23.6640625" bestFit="1" customWidth="1"/>
    <col min="20" max="20" width="47.21875" bestFit="1" customWidth="1"/>
    <col min="21" max="21" width="31.88671875" bestFit="1" customWidth="1"/>
    <col min="22" max="22" width="56.33203125" bestFit="1" customWidth="1"/>
  </cols>
  <sheetData>
    <row r="1" spans="1:22" x14ac:dyDescent="0.3">
      <c r="A1" t="s">
        <v>22</v>
      </c>
      <c r="C1" t="s">
        <v>0</v>
      </c>
    </row>
    <row r="2" spans="1:22" x14ac:dyDescent="0.3">
      <c r="C2">
        <v>0.8</v>
      </c>
      <c r="D2">
        <v>0.8</v>
      </c>
      <c r="E2">
        <v>1.1000000000000001</v>
      </c>
      <c r="F2">
        <v>1.1000000000000001</v>
      </c>
      <c r="G2">
        <v>0.5</v>
      </c>
      <c r="H2">
        <v>0.5</v>
      </c>
      <c r="I2">
        <v>1.5</v>
      </c>
      <c r="J2">
        <v>1.5</v>
      </c>
      <c r="K2">
        <v>0.7</v>
      </c>
      <c r="L2">
        <v>0.7</v>
      </c>
      <c r="M2">
        <v>0.6</v>
      </c>
      <c r="N2">
        <v>0.6</v>
      </c>
      <c r="O2">
        <v>0.9</v>
      </c>
      <c r="P2">
        <v>0.9</v>
      </c>
      <c r="Q2">
        <v>1.6</v>
      </c>
      <c r="R2">
        <v>1.6</v>
      </c>
      <c r="S2">
        <v>1.3</v>
      </c>
      <c r="T2">
        <v>1.3</v>
      </c>
      <c r="U2">
        <v>1.7</v>
      </c>
      <c r="V2">
        <v>1.7</v>
      </c>
    </row>
    <row r="3" spans="1:22" x14ac:dyDescent="0.3">
      <c r="A3" t="s">
        <v>18</v>
      </c>
      <c r="B3" t="s">
        <v>17</v>
      </c>
      <c r="C3">
        <v>1</v>
      </c>
      <c r="D3">
        <v>2</v>
      </c>
      <c r="E3">
        <v>3</v>
      </c>
      <c r="F3">
        <v>4</v>
      </c>
      <c r="G3">
        <v>5</v>
      </c>
      <c r="H3">
        <v>6</v>
      </c>
      <c r="I3">
        <v>7</v>
      </c>
      <c r="J3">
        <v>8</v>
      </c>
      <c r="K3">
        <v>9</v>
      </c>
      <c r="L3">
        <v>10</v>
      </c>
      <c r="M3">
        <v>11</v>
      </c>
      <c r="N3">
        <v>12</v>
      </c>
      <c r="O3">
        <v>13</v>
      </c>
      <c r="P3">
        <v>14</v>
      </c>
      <c r="Q3">
        <v>15</v>
      </c>
      <c r="R3">
        <v>16</v>
      </c>
      <c r="S3">
        <v>17</v>
      </c>
      <c r="T3">
        <v>18</v>
      </c>
      <c r="U3">
        <v>19</v>
      </c>
      <c r="V3">
        <v>20</v>
      </c>
    </row>
    <row r="4" spans="1:22" x14ac:dyDescent="0.3">
      <c r="A4">
        <v>6.3E-2</v>
      </c>
      <c r="B4">
        <v>1</v>
      </c>
      <c r="C4" s="1">
        <f>A4*$C$2</f>
        <v>5.04E-2</v>
      </c>
      <c r="D4" s="1">
        <f t="shared" ref="D4:V4" si="0">$A$4*D2</f>
        <v>5.04E-2</v>
      </c>
      <c r="E4" s="1">
        <f t="shared" si="0"/>
        <v>6.93E-2</v>
      </c>
      <c r="F4" s="1">
        <f t="shared" si="0"/>
        <v>6.93E-2</v>
      </c>
      <c r="G4" s="1">
        <f t="shared" si="0"/>
        <v>3.15E-2</v>
      </c>
      <c r="H4" s="1">
        <f t="shared" si="0"/>
        <v>3.15E-2</v>
      </c>
      <c r="I4" s="1">
        <f t="shared" si="0"/>
        <v>9.4500000000000001E-2</v>
      </c>
      <c r="J4" s="1">
        <f t="shared" si="0"/>
        <v>9.4500000000000001E-2</v>
      </c>
      <c r="K4" s="1">
        <f t="shared" si="0"/>
        <v>4.41E-2</v>
      </c>
      <c r="L4" s="1">
        <f t="shared" si="0"/>
        <v>4.41E-2</v>
      </c>
      <c r="M4" s="1">
        <f t="shared" si="0"/>
        <v>3.78E-2</v>
      </c>
      <c r="N4" s="1">
        <f t="shared" si="0"/>
        <v>3.78E-2</v>
      </c>
      <c r="O4" s="1">
        <f t="shared" si="0"/>
        <v>5.67E-2</v>
      </c>
      <c r="P4" s="1">
        <f t="shared" si="0"/>
        <v>5.67E-2</v>
      </c>
      <c r="Q4" s="1">
        <f t="shared" si="0"/>
        <v>0.1008</v>
      </c>
      <c r="R4" s="1">
        <f t="shared" si="0"/>
        <v>0.1008</v>
      </c>
      <c r="S4" s="1">
        <f t="shared" si="0"/>
        <v>8.1900000000000001E-2</v>
      </c>
      <c r="T4" s="1">
        <f t="shared" si="0"/>
        <v>8.1900000000000001E-2</v>
      </c>
      <c r="U4" s="1">
        <f t="shared" si="0"/>
        <v>0.1071</v>
      </c>
      <c r="V4" s="1">
        <f t="shared" si="0"/>
        <v>0.1071</v>
      </c>
    </row>
    <row r="5" spans="1:22" x14ac:dyDescent="0.3">
      <c r="A5">
        <v>2.4E-2</v>
      </c>
      <c r="B5">
        <v>2</v>
      </c>
      <c r="C5" s="1">
        <f>$A$5*C2</f>
        <v>1.9200000000000002E-2</v>
      </c>
      <c r="D5" s="1">
        <f t="shared" ref="D5:V5" si="1">$A$5*D2</f>
        <v>1.9200000000000002E-2</v>
      </c>
      <c r="E5" s="1">
        <f t="shared" si="1"/>
        <v>2.6400000000000003E-2</v>
      </c>
      <c r="F5" s="1">
        <f t="shared" si="1"/>
        <v>2.6400000000000003E-2</v>
      </c>
      <c r="G5" s="1">
        <f t="shared" si="1"/>
        <v>1.2E-2</v>
      </c>
      <c r="H5" s="1">
        <f t="shared" si="1"/>
        <v>1.2E-2</v>
      </c>
      <c r="I5" s="1">
        <f t="shared" si="1"/>
        <v>3.6000000000000004E-2</v>
      </c>
      <c r="J5" s="1">
        <f t="shared" si="1"/>
        <v>3.6000000000000004E-2</v>
      </c>
      <c r="K5" s="1">
        <f t="shared" si="1"/>
        <v>1.6799999999999999E-2</v>
      </c>
      <c r="L5" s="1">
        <f t="shared" si="1"/>
        <v>1.6799999999999999E-2</v>
      </c>
      <c r="M5" s="1">
        <f t="shared" si="1"/>
        <v>1.44E-2</v>
      </c>
      <c r="N5" s="1">
        <f t="shared" si="1"/>
        <v>1.44E-2</v>
      </c>
      <c r="O5" s="1">
        <f t="shared" si="1"/>
        <v>2.1600000000000001E-2</v>
      </c>
      <c r="P5" s="1">
        <f t="shared" si="1"/>
        <v>2.1600000000000001E-2</v>
      </c>
      <c r="Q5" s="1">
        <f t="shared" si="1"/>
        <v>3.8400000000000004E-2</v>
      </c>
      <c r="R5" s="1">
        <f t="shared" si="1"/>
        <v>3.8400000000000004E-2</v>
      </c>
      <c r="S5" s="1">
        <f t="shared" si="1"/>
        <v>3.1200000000000002E-2</v>
      </c>
      <c r="T5" s="1">
        <f t="shared" si="1"/>
        <v>3.1200000000000002E-2</v>
      </c>
      <c r="U5" s="1">
        <f t="shared" si="1"/>
        <v>4.0800000000000003E-2</v>
      </c>
      <c r="V5" s="1">
        <f t="shared" si="1"/>
        <v>4.0800000000000003E-2</v>
      </c>
    </row>
    <row r="6" spans="1:22" x14ac:dyDescent="0.3">
      <c r="A6">
        <v>9.0999999999999998E-2</v>
      </c>
      <c r="B6">
        <v>3</v>
      </c>
      <c r="C6" s="1">
        <f>$A$6*C2</f>
        <v>7.2800000000000004E-2</v>
      </c>
      <c r="D6" s="1">
        <f t="shared" ref="D6:V6" si="2">$A$6*D2</f>
        <v>7.2800000000000004E-2</v>
      </c>
      <c r="E6" s="1">
        <f t="shared" si="2"/>
        <v>0.10010000000000001</v>
      </c>
      <c r="F6" s="1">
        <f t="shared" si="2"/>
        <v>0.10010000000000001</v>
      </c>
      <c r="G6" s="1">
        <f t="shared" si="2"/>
        <v>4.5499999999999999E-2</v>
      </c>
      <c r="H6" s="1">
        <f t="shared" si="2"/>
        <v>4.5499999999999999E-2</v>
      </c>
      <c r="I6" s="1">
        <f t="shared" si="2"/>
        <v>0.13650000000000001</v>
      </c>
      <c r="J6" s="1">
        <f t="shared" si="2"/>
        <v>0.13650000000000001</v>
      </c>
      <c r="K6" s="1">
        <f t="shared" si="2"/>
        <v>6.3699999999999993E-2</v>
      </c>
      <c r="L6" s="1">
        <f t="shared" si="2"/>
        <v>6.3699999999999993E-2</v>
      </c>
      <c r="M6" s="1">
        <f t="shared" si="2"/>
        <v>5.4599999999999996E-2</v>
      </c>
      <c r="N6" s="1">
        <f t="shared" si="2"/>
        <v>5.4599999999999996E-2</v>
      </c>
      <c r="O6" s="1">
        <f t="shared" si="2"/>
        <v>8.1900000000000001E-2</v>
      </c>
      <c r="P6" s="1">
        <f t="shared" si="2"/>
        <v>8.1900000000000001E-2</v>
      </c>
      <c r="Q6" s="1">
        <f t="shared" si="2"/>
        <v>0.14560000000000001</v>
      </c>
      <c r="R6" s="1">
        <f t="shared" si="2"/>
        <v>0.14560000000000001</v>
      </c>
      <c r="S6" s="1">
        <f t="shared" si="2"/>
        <v>0.1183</v>
      </c>
      <c r="T6" s="1">
        <f t="shared" si="2"/>
        <v>0.1183</v>
      </c>
      <c r="U6" s="1">
        <f t="shared" si="2"/>
        <v>0.1547</v>
      </c>
      <c r="V6" s="1">
        <f t="shared" si="2"/>
        <v>0.1547</v>
      </c>
    </row>
    <row r="7" spans="1:22" x14ac:dyDescent="0.3">
      <c r="A7">
        <v>4.8000000000000001E-2</v>
      </c>
      <c r="B7">
        <v>4</v>
      </c>
      <c r="C7" s="1">
        <f>$A$7*C2</f>
        <v>3.8400000000000004E-2</v>
      </c>
      <c r="D7" s="1">
        <f t="shared" ref="D7:V7" si="3">$A$7*D2</f>
        <v>3.8400000000000004E-2</v>
      </c>
      <c r="E7" s="1">
        <f t="shared" si="3"/>
        <v>5.2800000000000007E-2</v>
      </c>
      <c r="F7" s="1">
        <f t="shared" si="3"/>
        <v>5.2800000000000007E-2</v>
      </c>
      <c r="G7" s="1">
        <f t="shared" si="3"/>
        <v>2.4E-2</v>
      </c>
      <c r="H7" s="1">
        <f t="shared" si="3"/>
        <v>2.4E-2</v>
      </c>
      <c r="I7" s="1">
        <f t="shared" si="3"/>
        <v>7.2000000000000008E-2</v>
      </c>
      <c r="J7" s="1">
        <f t="shared" si="3"/>
        <v>7.2000000000000008E-2</v>
      </c>
      <c r="K7" s="1">
        <f t="shared" si="3"/>
        <v>3.3599999999999998E-2</v>
      </c>
      <c r="L7" s="1">
        <f t="shared" si="3"/>
        <v>3.3599999999999998E-2</v>
      </c>
      <c r="M7" s="1">
        <f t="shared" si="3"/>
        <v>2.8799999999999999E-2</v>
      </c>
      <c r="N7" s="1">
        <f t="shared" si="3"/>
        <v>2.8799999999999999E-2</v>
      </c>
      <c r="O7" s="1">
        <f t="shared" si="3"/>
        <v>4.3200000000000002E-2</v>
      </c>
      <c r="P7" s="1">
        <f t="shared" si="3"/>
        <v>4.3200000000000002E-2</v>
      </c>
      <c r="Q7" s="1">
        <f t="shared" si="3"/>
        <v>7.6800000000000007E-2</v>
      </c>
      <c r="R7" s="1">
        <f t="shared" si="3"/>
        <v>7.6800000000000007E-2</v>
      </c>
      <c r="S7" s="1">
        <f t="shared" si="3"/>
        <v>6.2400000000000004E-2</v>
      </c>
      <c r="T7" s="1">
        <f t="shared" si="3"/>
        <v>6.2400000000000004E-2</v>
      </c>
      <c r="U7" s="1">
        <f t="shared" si="3"/>
        <v>8.1600000000000006E-2</v>
      </c>
      <c r="V7" s="1">
        <f t="shared" si="3"/>
        <v>8.1600000000000006E-2</v>
      </c>
    </row>
    <row r="8" spans="1:22" x14ac:dyDescent="0.3">
      <c r="A8">
        <v>5.0999999999999997E-2</v>
      </c>
      <c r="B8">
        <v>5</v>
      </c>
      <c r="C8" s="1">
        <f>$A$8*C2</f>
        <v>4.0800000000000003E-2</v>
      </c>
      <c r="D8" s="1">
        <f t="shared" ref="D8:V8" si="4">$A$8*D2</f>
        <v>4.0800000000000003E-2</v>
      </c>
      <c r="E8" s="1">
        <f t="shared" si="4"/>
        <v>5.6100000000000004E-2</v>
      </c>
      <c r="F8" s="1">
        <f t="shared" si="4"/>
        <v>5.6100000000000004E-2</v>
      </c>
      <c r="G8" s="1">
        <f t="shared" si="4"/>
        <v>2.5499999999999998E-2</v>
      </c>
      <c r="H8" s="1">
        <f t="shared" si="4"/>
        <v>2.5499999999999998E-2</v>
      </c>
      <c r="I8" s="1">
        <f t="shared" si="4"/>
        <v>7.6499999999999999E-2</v>
      </c>
      <c r="J8" s="1">
        <f t="shared" si="4"/>
        <v>7.6499999999999999E-2</v>
      </c>
      <c r="K8" s="1">
        <f t="shared" si="4"/>
        <v>3.5699999999999996E-2</v>
      </c>
      <c r="L8" s="1">
        <f t="shared" si="4"/>
        <v>3.5699999999999996E-2</v>
      </c>
      <c r="M8" s="1">
        <f t="shared" si="4"/>
        <v>3.0599999999999995E-2</v>
      </c>
      <c r="N8" s="1">
        <f t="shared" si="4"/>
        <v>3.0599999999999995E-2</v>
      </c>
      <c r="O8" s="1">
        <f t="shared" si="4"/>
        <v>4.5899999999999996E-2</v>
      </c>
      <c r="P8" s="1">
        <f t="shared" si="4"/>
        <v>4.5899999999999996E-2</v>
      </c>
      <c r="Q8" s="1">
        <f t="shared" si="4"/>
        <v>8.1600000000000006E-2</v>
      </c>
      <c r="R8" s="1">
        <f t="shared" si="4"/>
        <v>8.1600000000000006E-2</v>
      </c>
      <c r="S8" s="1">
        <f t="shared" si="4"/>
        <v>6.6299999999999998E-2</v>
      </c>
      <c r="T8" s="1">
        <f t="shared" si="4"/>
        <v>6.6299999999999998E-2</v>
      </c>
      <c r="U8" s="1">
        <f t="shared" si="4"/>
        <v>8.6699999999999985E-2</v>
      </c>
      <c r="V8" s="1">
        <f t="shared" si="4"/>
        <v>8.6699999999999985E-2</v>
      </c>
    </row>
  </sheetData>
  <pageMargins left="0.7" right="0.7" top="0.78740157499999996" bottom="0.78740157499999996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V8"/>
  <sheetViews>
    <sheetView workbookViewId="0">
      <selection activeCell="A9" sqref="A9"/>
    </sheetView>
  </sheetViews>
  <sheetFormatPr baseColWidth="10" defaultRowHeight="14.4" x14ac:dyDescent="0.3"/>
  <cols>
    <col min="3" max="7" width="11.77734375" bestFit="1" customWidth="1"/>
    <col min="8" max="8" width="12.44140625" bestFit="1" customWidth="1"/>
    <col min="9" max="9" width="11.77734375" bestFit="1" customWidth="1"/>
    <col min="10" max="10" width="15.44140625" bestFit="1" customWidth="1"/>
    <col min="11" max="11" width="11.77734375" bestFit="1" customWidth="1"/>
    <col min="12" max="12" width="19.5546875" bestFit="1" customWidth="1"/>
    <col min="13" max="13" width="11.77734375" bestFit="1" customWidth="1"/>
    <col min="14" max="14" width="24.6640625" bestFit="1" customWidth="1"/>
    <col min="15" max="15" width="12.44140625" bestFit="1" customWidth="1"/>
    <col min="16" max="16" width="30.77734375" bestFit="1" customWidth="1"/>
    <col min="17" max="17" width="17.5546875" bestFit="1" customWidth="1"/>
    <col min="18" max="18" width="38" bestFit="1" customWidth="1"/>
    <col min="19" max="19" width="23.6640625" bestFit="1" customWidth="1"/>
    <col min="20" max="20" width="47.21875" bestFit="1" customWidth="1"/>
    <col min="21" max="21" width="31.88671875" bestFit="1" customWidth="1"/>
    <col min="22" max="22" width="56.33203125" bestFit="1" customWidth="1"/>
  </cols>
  <sheetData>
    <row r="1" spans="1:22" x14ac:dyDescent="0.3">
      <c r="A1" t="s">
        <v>21</v>
      </c>
      <c r="C1" t="s">
        <v>0</v>
      </c>
    </row>
    <row r="2" spans="1:22" x14ac:dyDescent="0.3">
      <c r="C2">
        <v>0.8</v>
      </c>
      <c r="D2">
        <v>0.8</v>
      </c>
      <c r="E2">
        <v>1.1000000000000001</v>
      </c>
      <c r="F2">
        <v>1.1000000000000001</v>
      </c>
      <c r="G2">
        <v>0.5</v>
      </c>
      <c r="H2">
        <v>0.5</v>
      </c>
      <c r="I2">
        <v>1.5</v>
      </c>
      <c r="J2">
        <v>1.5</v>
      </c>
      <c r="K2">
        <v>0.7</v>
      </c>
      <c r="L2">
        <v>0.7</v>
      </c>
      <c r="M2">
        <v>0.6</v>
      </c>
      <c r="N2">
        <v>0.6</v>
      </c>
      <c r="O2">
        <v>0.9</v>
      </c>
      <c r="P2">
        <v>0.9</v>
      </c>
      <c r="Q2">
        <v>1.6</v>
      </c>
      <c r="R2">
        <v>1.6</v>
      </c>
      <c r="S2">
        <v>1.3</v>
      </c>
      <c r="T2">
        <v>1.3</v>
      </c>
      <c r="U2">
        <v>1.7</v>
      </c>
      <c r="V2">
        <v>1.7</v>
      </c>
    </row>
    <row r="3" spans="1:22" x14ac:dyDescent="0.3">
      <c r="A3" t="s">
        <v>18</v>
      </c>
      <c r="B3" t="s">
        <v>17</v>
      </c>
      <c r="C3">
        <v>1</v>
      </c>
      <c r="D3">
        <v>2</v>
      </c>
      <c r="E3">
        <v>3</v>
      </c>
      <c r="F3">
        <v>4</v>
      </c>
      <c r="G3">
        <v>5</v>
      </c>
      <c r="H3">
        <v>6</v>
      </c>
      <c r="I3">
        <v>7</v>
      </c>
      <c r="J3">
        <v>8</v>
      </c>
      <c r="K3">
        <v>9</v>
      </c>
      <c r="L3">
        <v>10</v>
      </c>
      <c r="M3">
        <v>11</v>
      </c>
      <c r="N3">
        <v>12</v>
      </c>
      <c r="O3">
        <v>13</v>
      </c>
      <c r="P3">
        <v>14</v>
      </c>
      <c r="Q3">
        <v>15</v>
      </c>
      <c r="R3">
        <v>16</v>
      </c>
      <c r="S3">
        <v>17</v>
      </c>
      <c r="T3">
        <v>18</v>
      </c>
      <c r="U3">
        <v>19</v>
      </c>
      <c r="V3">
        <v>20</v>
      </c>
    </row>
    <row r="4" spans="1:22" x14ac:dyDescent="0.3">
      <c r="A4">
        <v>7.4999999999999997E-2</v>
      </c>
      <c r="B4">
        <v>1</v>
      </c>
      <c r="C4" s="1">
        <f>A4*$C$2</f>
        <v>0.06</v>
      </c>
      <c r="D4" s="1">
        <f t="shared" ref="D4:V4" si="0">$A$4*D2</f>
        <v>0.06</v>
      </c>
      <c r="E4" s="1">
        <f t="shared" si="0"/>
        <v>8.2500000000000004E-2</v>
      </c>
      <c r="F4" s="1">
        <f t="shared" si="0"/>
        <v>8.2500000000000004E-2</v>
      </c>
      <c r="G4" s="1">
        <f t="shared" si="0"/>
        <v>3.7499999999999999E-2</v>
      </c>
      <c r="H4" s="1">
        <f t="shared" si="0"/>
        <v>3.7499999999999999E-2</v>
      </c>
      <c r="I4" s="1">
        <f t="shared" si="0"/>
        <v>0.11249999999999999</v>
      </c>
      <c r="J4" s="1">
        <f t="shared" si="0"/>
        <v>0.11249999999999999</v>
      </c>
      <c r="K4" s="1">
        <f t="shared" si="0"/>
        <v>5.2499999999999998E-2</v>
      </c>
      <c r="L4" s="1">
        <f t="shared" si="0"/>
        <v>5.2499999999999998E-2</v>
      </c>
      <c r="M4" s="1">
        <f t="shared" si="0"/>
        <v>4.4999999999999998E-2</v>
      </c>
      <c r="N4" s="1">
        <f t="shared" si="0"/>
        <v>4.4999999999999998E-2</v>
      </c>
      <c r="O4" s="1">
        <f t="shared" si="0"/>
        <v>6.7500000000000004E-2</v>
      </c>
      <c r="P4" s="1">
        <f t="shared" si="0"/>
        <v>6.7500000000000004E-2</v>
      </c>
      <c r="Q4" s="1">
        <f t="shared" si="0"/>
        <v>0.12</v>
      </c>
      <c r="R4" s="1">
        <f t="shared" si="0"/>
        <v>0.12</v>
      </c>
      <c r="S4" s="1">
        <f t="shared" si="0"/>
        <v>9.7500000000000003E-2</v>
      </c>
      <c r="T4" s="1">
        <f t="shared" si="0"/>
        <v>9.7500000000000003E-2</v>
      </c>
      <c r="U4" s="1">
        <f t="shared" si="0"/>
        <v>0.1275</v>
      </c>
      <c r="V4" s="1">
        <f t="shared" si="0"/>
        <v>0.1275</v>
      </c>
    </row>
    <row r="5" spans="1:22" x14ac:dyDescent="0.3">
      <c r="A5">
        <v>5.2999999999999999E-2</v>
      </c>
      <c r="B5">
        <v>2</v>
      </c>
      <c r="C5" s="1">
        <f>$A$5*C2</f>
        <v>4.24E-2</v>
      </c>
      <c r="D5" s="1">
        <f t="shared" ref="D5:V5" si="1">$A$5*D2</f>
        <v>4.24E-2</v>
      </c>
      <c r="E5" s="1">
        <f t="shared" si="1"/>
        <v>5.8300000000000005E-2</v>
      </c>
      <c r="F5" s="1">
        <f t="shared" si="1"/>
        <v>5.8300000000000005E-2</v>
      </c>
      <c r="G5" s="1">
        <f t="shared" si="1"/>
        <v>2.6499999999999999E-2</v>
      </c>
      <c r="H5" s="1">
        <f t="shared" si="1"/>
        <v>2.6499999999999999E-2</v>
      </c>
      <c r="I5" s="1">
        <f t="shared" si="1"/>
        <v>7.9500000000000001E-2</v>
      </c>
      <c r="J5" s="1">
        <f t="shared" si="1"/>
        <v>7.9500000000000001E-2</v>
      </c>
      <c r="K5" s="1">
        <f t="shared" si="1"/>
        <v>3.7099999999999994E-2</v>
      </c>
      <c r="L5" s="1">
        <f t="shared" si="1"/>
        <v>3.7099999999999994E-2</v>
      </c>
      <c r="M5" s="1">
        <f t="shared" si="1"/>
        <v>3.1799999999999995E-2</v>
      </c>
      <c r="N5" s="1">
        <f t="shared" si="1"/>
        <v>3.1799999999999995E-2</v>
      </c>
      <c r="O5" s="1">
        <f t="shared" si="1"/>
        <v>4.7699999999999999E-2</v>
      </c>
      <c r="P5" s="1">
        <f t="shared" si="1"/>
        <v>4.7699999999999999E-2</v>
      </c>
      <c r="Q5" s="1">
        <f t="shared" si="1"/>
        <v>8.48E-2</v>
      </c>
      <c r="R5" s="1">
        <f t="shared" si="1"/>
        <v>8.48E-2</v>
      </c>
      <c r="S5" s="1">
        <f t="shared" si="1"/>
        <v>6.8900000000000003E-2</v>
      </c>
      <c r="T5" s="1">
        <f t="shared" si="1"/>
        <v>6.8900000000000003E-2</v>
      </c>
      <c r="U5" s="1">
        <f t="shared" si="1"/>
        <v>9.01E-2</v>
      </c>
      <c r="V5" s="1">
        <f t="shared" si="1"/>
        <v>9.01E-2</v>
      </c>
    </row>
    <row r="6" spans="1:22" x14ac:dyDescent="0.3">
      <c r="A6">
        <v>0.115</v>
      </c>
      <c r="B6">
        <v>3</v>
      </c>
      <c r="C6" s="1">
        <f>$A$6*C2</f>
        <v>9.2000000000000012E-2</v>
      </c>
      <c r="D6" s="1">
        <f t="shared" ref="D6:V6" si="2">$A$6*D2</f>
        <v>9.2000000000000012E-2</v>
      </c>
      <c r="E6" s="1">
        <f t="shared" si="2"/>
        <v>0.12650000000000003</v>
      </c>
      <c r="F6" s="1">
        <f t="shared" si="2"/>
        <v>0.12650000000000003</v>
      </c>
      <c r="G6" s="1">
        <f t="shared" si="2"/>
        <v>5.7500000000000002E-2</v>
      </c>
      <c r="H6" s="1">
        <f t="shared" si="2"/>
        <v>5.7500000000000002E-2</v>
      </c>
      <c r="I6" s="1">
        <f t="shared" si="2"/>
        <v>0.17250000000000001</v>
      </c>
      <c r="J6" s="1">
        <f t="shared" si="2"/>
        <v>0.17250000000000001</v>
      </c>
      <c r="K6" s="1">
        <f t="shared" si="2"/>
        <v>8.0500000000000002E-2</v>
      </c>
      <c r="L6" s="1">
        <f t="shared" si="2"/>
        <v>8.0500000000000002E-2</v>
      </c>
      <c r="M6" s="1">
        <f t="shared" si="2"/>
        <v>6.9000000000000006E-2</v>
      </c>
      <c r="N6" s="1">
        <f t="shared" si="2"/>
        <v>6.9000000000000006E-2</v>
      </c>
      <c r="O6" s="1">
        <f t="shared" si="2"/>
        <v>0.10350000000000001</v>
      </c>
      <c r="P6" s="1">
        <f t="shared" si="2"/>
        <v>0.10350000000000001</v>
      </c>
      <c r="Q6" s="1">
        <f t="shared" si="2"/>
        <v>0.18400000000000002</v>
      </c>
      <c r="R6" s="1">
        <f t="shared" si="2"/>
        <v>0.18400000000000002</v>
      </c>
      <c r="S6" s="1">
        <f t="shared" si="2"/>
        <v>0.14950000000000002</v>
      </c>
      <c r="T6" s="1">
        <f t="shared" si="2"/>
        <v>0.14950000000000002</v>
      </c>
      <c r="U6" s="1">
        <f t="shared" si="2"/>
        <v>0.19550000000000001</v>
      </c>
      <c r="V6" s="1">
        <f t="shared" si="2"/>
        <v>0.19550000000000001</v>
      </c>
    </row>
    <row r="7" spans="1:22" x14ac:dyDescent="0.3">
      <c r="A7">
        <v>6.2E-2</v>
      </c>
      <c r="B7">
        <v>4</v>
      </c>
      <c r="C7" s="1">
        <f>$A$7*C2</f>
        <v>4.9600000000000005E-2</v>
      </c>
      <c r="D7" s="1">
        <f t="shared" ref="D7:V7" si="3">$A$7*D2</f>
        <v>4.9600000000000005E-2</v>
      </c>
      <c r="E7" s="1">
        <f t="shared" si="3"/>
        <v>6.8200000000000011E-2</v>
      </c>
      <c r="F7" s="1">
        <f t="shared" si="3"/>
        <v>6.8200000000000011E-2</v>
      </c>
      <c r="G7" s="1">
        <f t="shared" si="3"/>
        <v>3.1E-2</v>
      </c>
      <c r="H7" s="1">
        <f t="shared" si="3"/>
        <v>3.1E-2</v>
      </c>
      <c r="I7" s="1">
        <f t="shared" si="3"/>
        <v>9.2999999999999999E-2</v>
      </c>
      <c r="J7" s="1">
        <f t="shared" si="3"/>
        <v>9.2999999999999999E-2</v>
      </c>
      <c r="K7" s="1">
        <f t="shared" si="3"/>
        <v>4.3399999999999994E-2</v>
      </c>
      <c r="L7" s="1">
        <f t="shared" si="3"/>
        <v>4.3399999999999994E-2</v>
      </c>
      <c r="M7" s="1">
        <f t="shared" si="3"/>
        <v>3.7199999999999997E-2</v>
      </c>
      <c r="N7" s="1">
        <f t="shared" si="3"/>
        <v>3.7199999999999997E-2</v>
      </c>
      <c r="O7" s="1">
        <f t="shared" si="3"/>
        <v>5.5800000000000002E-2</v>
      </c>
      <c r="P7" s="1">
        <f t="shared" si="3"/>
        <v>5.5800000000000002E-2</v>
      </c>
      <c r="Q7" s="1">
        <f t="shared" si="3"/>
        <v>9.920000000000001E-2</v>
      </c>
      <c r="R7" s="1">
        <f t="shared" si="3"/>
        <v>9.920000000000001E-2</v>
      </c>
      <c r="S7" s="1">
        <f t="shared" si="3"/>
        <v>8.0600000000000005E-2</v>
      </c>
      <c r="T7" s="1">
        <f t="shared" si="3"/>
        <v>8.0600000000000005E-2</v>
      </c>
      <c r="U7" s="1">
        <f t="shared" si="3"/>
        <v>0.10539999999999999</v>
      </c>
      <c r="V7" s="1">
        <f t="shared" si="3"/>
        <v>0.10539999999999999</v>
      </c>
    </row>
    <row r="8" spans="1:22" x14ac:dyDescent="0.3">
      <c r="A8">
        <v>4.9000000000000002E-2</v>
      </c>
      <c r="B8">
        <v>5</v>
      </c>
      <c r="C8" s="1">
        <f>$A$8*C2</f>
        <v>3.9200000000000006E-2</v>
      </c>
      <c r="D8" s="1">
        <f t="shared" ref="D8:V8" si="4">$A$8*D2</f>
        <v>3.9200000000000006E-2</v>
      </c>
      <c r="E8" s="1">
        <f t="shared" si="4"/>
        <v>5.3900000000000003E-2</v>
      </c>
      <c r="F8" s="1">
        <f t="shared" si="4"/>
        <v>5.3900000000000003E-2</v>
      </c>
      <c r="G8" s="1">
        <f t="shared" si="4"/>
        <v>2.4500000000000001E-2</v>
      </c>
      <c r="H8" s="1">
        <f t="shared" si="4"/>
        <v>2.4500000000000001E-2</v>
      </c>
      <c r="I8" s="1">
        <f t="shared" si="4"/>
        <v>7.350000000000001E-2</v>
      </c>
      <c r="J8" s="1">
        <f t="shared" si="4"/>
        <v>7.350000000000001E-2</v>
      </c>
      <c r="K8" s="1">
        <f t="shared" si="4"/>
        <v>3.4299999999999997E-2</v>
      </c>
      <c r="L8" s="1">
        <f t="shared" si="4"/>
        <v>3.4299999999999997E-2</v>
      </c>
      <c r="M8" s="1">
        <f t="shared" si="4"/>
        <v>2.9399999999999999E-2</v>
      </c>
      <c r="N8" s="1">
        <f t="shared" si="4"/>
        <v>2.9399999999999999E-2</v>
      </c>
      <c r="O8" s="1">
        <f t="shared" si="4"/>
        <v>4.41E-2</v>
      </c>
      <c r="P8" s="1">
        <f t="shared" si="4"/>
        <v>4.41E-2</v>
      </c>
      <c r="Q8" s="1">
        <f t="shared" si="4"/>
        <v>7.8400000000000011E-2</v>
      </c>
      <c r="R8" s="1">
        <f t="shared" si="4"/>
        <v>7.8400000000000011E-2</v>
      </c>
      <c r="S8" s="1">
        <f t="shared" si="4"/>
        <v>6.3700000000000007E-2</v>
      </c>
      <c r="T8" s="1">
        <f t="shared" si="4"/>
        <v>6.3700000000000007E-2</v>
      </c>
      <c r="U8" s="1">
        <f t="shared" si="4"/>
        <v>8.3299999999999999E-2</v>
      </c>
      <c r="V8" s="1">
        <f t="shared" si="4"/>
        <v>8.3299999999999999E-2</v>
      </c>
    </row>
  </sheetData>
  <pageMargins left="0.7" right="0.7" top="0.78740157499999996" bottom="0.78740157499999996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V8"/>
  <sheetViews>
    <sheetView workbookViewId="0">
      <selection activeCell="A9" sqref="A9"/>
    </sheetView>
  </sheetViews>
  <sheetFormatPr baseColWidth="10" defaultRowHeight="14.4" x14ac:dyDescent="0.3"/>
  <cols>
    <col min="3" max="7" width="11.77734375" bestFit="1" customWidth="1"/>
    <col min="8" max="8" width="12.44140625" bestFit="1" customWidth="1"/>
    <col min="9" max="9" width="11.77734375" bestFit="1" customWidth="1"/>
    <col min="10" max="10" width="15.44140625" bestFit="1" customWidth="1"/>
    <col min="11" max="11" width="11.77734375" bestFit="1" customWidth="1"/>
    <col min="12" max="12" width="19.5546875" bestFit="1" customWidth="1"/>
    <col min="13" max="13" width="11.77734375" bestFit="1" customWidth="1"/>
    <col min="14" max="14" width="24.6640625" bestFit="1" customWidth="1"/>
    <col min="15" max="15" width="12.44140625" bestFit="1" customWidth="1"/>
    <col min="16" max="16" width="30.77734375" bestFit="1" customWidth="1"/>
    <col min="17" max="17" width="17.5546875" bestFit="1" customWidth="1"/>
    <col min="18" max="18" width="38" bestFit="1" customWidth="1"/>
    <col min="19" max="19" width="23.6640625" bestFit="1" customWidth="1"/>
    <col min="20" max="20" width="47.21875" bestFit="1" customWidth="1"/>
    <col min="21" max="21" width="31.88671875" bestFit="1" customWidth="1"/>
    <col min="22" max="22" width="56.33203125" bestFit="1" customWidth="1"/>
  </cols>
  <sheetData>
    <row r="1" spans="1:22" x14ac:dyDescent="0.3">
      <c r="A1" t="s">
        <v>23</v>
      </c>
      <c r="C1" t="s">
        <v>0</v>
      </c>
    </row>
    <row r="2" spans="1:22" x14ac:dyDescent="0.3">
      <c r="C2">
        <v>0.8</v>
      </c>
      <c r="D2">
        <v>0.8</v>
      </c>
      <c r="E2">
        <v>1.1000000000000001</v>
      </c>
      <c r="F2">
        <v>1.1000000000000001</v>
      </c>
      <c r="G2">
        <v>0.5</v>
      </c>
      <c r="H2">
        <v>0.5</v>
      </c>
      <c r="I2">
        <v>1.5</v>
      </c>
      <c r="J2">
        <v>1.5</v>
      </c>
      <c r="K2">
        <v>0.7</v>
      </c>
      <c r="L2">
        <v>0.7</v>
      </c>
      <c r="M2">
        <v>0.6</v>
      </c>
      <c r="N2">
        <v>0.6</v>
      </c>
      <c r="O2">
        <v>0.9</v>
      </c>
      <c r="P2">
        <v>0.9</v>
      </c>
      <c r="Q2">
        <v>1.6</v>
      </c>
      <c r="R2">
        <v>1.6</v>
      </c>
      <c r="S2">
        <v>1.3</v>
      </c>
      <c r="T2">
        <v>1.3</v>
      </c>
      <c r="U2">
        <v>1.7</v>
      </c>
      <c r="V2">
        <v>1.7</v>
      </c>
    </row>
    <row r="3" spans="1:22" x14ac:dyDescent="0.3">
      <c r="A3" t="s">
        <v>18</v>
      </c>
      <c r="B3" t="s">
        <v>17</v>
      </c>
      <c r="C3">
        <v>1</v>
      </c>
      <c r="D3">
        <v>2</v>
      </c>
      <c r="E3">
        <v>3</v>
      </c>
      <c r="F3">
        <v>4</v>
      </c>
      <c r="G3">
        <v>5</v>
      </c>
      <c r="H3">
        <v>6</v>
      </c>
      <c r="I3">
        <v>7</v>
      </c>
      <c r="J3">
        <v>8</v>
      </c>
      <c r="K3">
        <v>9</v>
      </c>
      <c r="L3">
        <v>10</v>
      </c>
      <c r="M3">
        <v>11</v>
      </c>
      <c r="N3">
        <v>12</v>
      </c>
      <c r="O3">
        <v>13</v>
      </c>
      <c r="P3">
        <v>14</v>
      </c>
      <c r="Q3">
        <v>15</v>
      </c>
      <c r="R3">
        <v>16</v>
      </c>
      <c r="S3">
        <v>17</v>
      </c>
      <c r="T3">
        <v>18</v>
      </c>
      <c r="U3">
        <v>19</v>
      </c>
      <c r="V3">
        <v>20</v>
      </c>
    </row>
    <row r="4" spans="1:22" x14ac:dyDescent="0.3">
      <c r="A4">
        <v>6.8000000000000005E-2</v>
      </c>
      <c r="B4">
        <v>1</v>
      </c>
      <c r="C4" s="1">
        <f>A4*$C$2</f>
        <v>5.4400000000000004E-2</v>
      </c>
      <c r="D4" s="1">
        <f t="shared" ref="D4:V4" si="0">$A$4*D2</f>
        <v>5.4400000000000004E-2</v>
      </c>
      <c r="E4" s="1">
        <f t="shared" si="0"/>
        <v>7.4800000000000005E-2</v>
      </c>
      <c r="F4" s="1">
        <f t="shared" si="0"/>
        <v>7.4800000000000005E-2</v>
      </c>
      <c r="G4" s="1">
        <f t="shared" si="0"/>
        <v>3.4000000000000002E-2</v>
      </c>
      <c r="H4" s="1">
        <f t="shared" si="0"/>
        <v>3.4000000000000002E-2</v>
      </c>
      <c r="I4" s="1">
        <f t="shared" si="0"/>
        <v>0.10200000000000001</v>
      </c>
      <c r="J4" s="1">
        <f t="shared" si="0"/>
        <v>0.10200000000000001</v>
      </c>
      <c r="K4" s="1">
        <f t="shared" si="0"/>
        <v>4.7600000000000003E-2</v>
      </c>
      <c r="L4" s="1">
        <f t="shared" si="0"/>
        <v>4.7600000000000003E-2</v>
      </c>
      <c r="M4" s="1">
        <f t="shared" si="0"/>
        <v>4.0800000000000003E-2</v>
      </c>
      <c r="N4" s="1">
        <f t="shared" si="0"/>
        <v>4.0800000000000003E-2</v>
      </c>
      <c r="O4" s="1">
        <f t="shared" si="0"/>
        <v>6.1200000000000004E-2</v>
      </c>
      <c r="P4" s="1">
        <f t="shared" si="0"/>
        <v>6.1200000000000004E-2</v>
      </c>
      <c r="Q4" s="1">
        <f t="shared" si="0"/>
        <v>0.10880000000000001</v>
      </c>
      <c r="R4" s="1">
        <f t="shared" si="0"/>
        <v>0.10880000000000001</v>
      </c>
      <c r="S4" s="1">
        <f t="shared" si="0"/>
        <v>8.8400000000000006E-2</v>
      </c>
      <c r="T4" s="1">
        <f t="shared" si="0"/>
        <v>8.8400000000000006E-2</v>
      </c>
      <c r="U4" s="1">
        <f t="shared" si="0"/>
        <v>0.11560000000000001</v>
      </c>
      <c r="V4" s="1">
        <f t="shared" si="0"/>
        <v>0.11560000000000001</v>
      </c>
    </row>
    <row r="5" spans="1:22" x14ac:dyDescent="0.3">
      <c r="A5">
        <v>4.9000000000000002E-2</v>
      </c>
      <c r="B5">
        <v>2</v>
      </c>
      <c r="C5" s="1">
        <f>$A$5*C2</f>
        <v>3.9200000000000006E-2</v>
      </c>
      <c r="D5" s="1">
        <f t="shared" ref="D5:V5" si="1">$A$5*D2</f>
        <v>3.9200000000000006E-2</v>
      </c>
      <c r="E5" s="1">
        <f t="shared" si="1"/>
        <v>5.3900000000000003E-2</v>
      </c>
      <c r="F5" s="1">
        <f t="shared" si="1"/>
        <v>5.3900000000000003E-2</v>
      </c>
      <c r="G5" s="1">
        <f t="shared" si="1"/>
        <v>2.4500000000000001E-2</v>
      </c>
      <c r="H5" s="1">
        <f t="shared" si="1"/>
        <v>2.4500000000000001E-2</v>
      </c>
      <c r="I5" s="1">
        <f t="shared" si="1"/>
        <v>7.350000000000001E-2</v>
      </c>
      <c r="J5" s="1">
        <f t="shared" si="1"/>
        <v>7.350000000000001E-2</v>
      </c>
      <c r="K5" s="1">
        <f t="shared" si="1"/>
        <v>3.4299999999999997E-2</v>
      </c>
      <c r="L5" s="1">
        <f t="shared" si="1"/>
        <v>3.4299999999999997E-2</v>
      </c>
      <c r="M5" s="1">
        <f t="shared" si="1"/>
        <v>2.9399999999999999E-2</v>
      </c>
      <c r="N5" s="1">
        <f t="shared" si="1"/>
        <v>2.9399999999999999E-2</v>
      </c>
      <c r="O5" s="1">
        <f t="shared" si="1"/>
        <v>4.41E-2</v>
      </c>
      <c r="P5" s="1">
        <f t="shared" si="1"/>
        <v>4.41E-2</v>
      </c>
      <c r="Q5" s="1">
        <f t="shared" si="1"/>
        <v>7.8400000000000011E-2</v>
      </c>
      <c r="R5" s="1">
        <f t="shared" si="1"/>
        <v>7.8400000000000011E-2</v>
      </c>
      <c r="S5" s="1">
        <f t="shared" si="1"/>
        <v>6.3700000000000007E-2</v>
      </c>
      <c r="T5" s="1">
        <f t="shared" si="1"/>
        <v>6.3700000000000007E-2</v>
      </c>
      <c r="U5" s="1">
        <f t="shared" si="1"/>
        <v>8.3299999999999999E-2</v>
      </c>
      <c r="V5" s="1">
        <f t="shared" si="1"/>
        <v>8.3299999999999999E-2</v>
      </c>
    </row>
    <row r="6" spans="1:22" x14ac:dyDescent="0.3">
      <c r="A6">
        <v>7.4999999999999997E-2</v>
      </c>
      <c r="B6">
        <v>3</v>
      </c>
      <c r="C6" s="1">
        <f>$A$6*C2</f>
        <v>0.06</v>
      </c>
      <c r="D6" s="1">
        <f t="shared" ref="D6:V6" si="2">$A$6*D2</f>
        <v>0.06</v>
      </c>
      <c r="E6" s="1">
        <f t="shared" si="2"/>
        <v>8.2500000000000004E-2</v>
      </c>
      <c r="F6" s="1">
        <f t="shared" si="2"/>
        <v>8.2500000000000004E-2</v>
      </c>
      <c r="G6" s="1">
        <f t="shared" si="2"/>
        <v>3.7499999999999999E-2</v>
      </c>
      <c r="H6" s="1">
        <f t="shared" si="2"/>
        <v>3.7499999999999999E-2</v>
      </c>
      <c r="I6" s="1">
        <f t="shared" si="2"/>
        <v>0.11249999999999999</v>
      </c>
      <c r="J6" s="1">
        <f t="shared" si="2"/>
        <v>0.11249999999999999</v>
      </c>
      <c r="K6" s="1">
        <f t="shared" si="2"/>
        <v>5.2499999999999998E-2</v>
      </c>
      <c r="L6" s="1">
        <f t="shared" si="2"/>
        <v>5.2499999999999998E-2</v>
      </c>
      <c r="M6" s="1">
        <f t="shared" si="2"/>
        <v>4.4999999999999998E-2</v>
      </c>
      <c r="N6" s="1">
        <f t="shared" si="2"/>
        <v>4.4999999999999998E-2</v>
      </c>
      <c r="O6" s="1">
        <f t="shared" si="2"/>
        <v>6.7500000000000004E-2</v>
      </c>
      <c r="P6" s="1">
        <f t="shared" si="2"/>
        <v>6.7500000000000004E-2</v>
      </c>
      <c r="Q6" s="1">
        <f t="shared" si="2"/>
        <v>0.12</v>
      </c>
      <c r="R6" s="1">
        <f t="shared" si="2"/>
        <v>0.12</v>
      </c>
      <c r="S6" s="1">
        <f t="shared" si="2"/>
        <v>9.7500000000000003E-2</v>
      </c>
      <c r="T6" s="1">
        <f t="shared" si="2"/>
        <v>9.7500000000000003E-2</v>
      </c>
      <c r="U6" s="1">
        <f t="shared" si="2"/>
        <v>0.1275</v>
      </c>
      <c r="V6" s="1">
        <f t="shared" si="2"/>
        <v>0.1275</v>
      </c>
    </row>
    <row r="7" spans="1:22" x14ac:dyDescent="0.3">
      <c r="A7">
        <v>9.8000000000000004E-2</v>
      </c>
      <c r="B7">
        <v>4</v>
      </c>
      <c r="C7" s="1">
        <f>$A$7*C2</f>
        <v>7.8400000000000011E-2</v>
      </c>
      <c r="D7" s="1">
        <f t="shared" ref="D7:V7" si="3">$A$7*D2</f>
        <v>7.8400000000000011E-2</v>
      </c>
      <c r="E7" s="1">
        <f t="shared" si="3"/>
        <v>0.10780000000000001</v>
      </c>
      <c r="F7" s="1">
        <f t="shared" si="3"/>
        <v>0.10780000000000001</v>
      </c>
      <c r="G7" s="1">
        <f t="shared" si="3"/>
        <v>4.9000000000000002E-2</v>
      </c>
      <c r="H7" s="1">
        <f t="shared" si="3"/>
        <v>4.9000000000000002E-2</v>
      </c>
      <c r="I7" s="1">
        <f t="shared" si="3"/>
        <v>0.14700000000000002</v>
      </c>
      <c r="J7" s="1">
        <f t="shared" si="3"/>
        <v>0.14700000000000002</v>
      </c>
      <c r="K7" s="1">
        <f t="shared" si="3"/>
        <v>6.8599999999999994E-2</v>
      </c>
      <c r="L7" s="1">
        <f t="shared" si="3"/>
        <v>6.8599999999999994E-2</v>
      </c>
      <c r="M7" s="1">
        <f t="shared" si="3"/>
        <v>5.8799999999999998E-2</v>
      </c>
      <c r="N7" s="1">
        <f t="shared" si="3"/>
        <v>5.8799999999999998E-2</v>
      </c>
      <c r="O7" s="1">
        <f t="shared" si="3"/>
        <v>8.8200000000000001E-2</v>
      </c>
      <c r="P7" s="1">
        <f t="shared" si="3"/>
        <v>8.8200000000000001E-2</v>
      </c>
      <c r="Q7" s="1">
        <f t="shared" si="3"/>
        <v>0.15680000000000002</v>
      </c>
      <c r="R7" s="1">
        <f t="shared" si="3"/>
        <v>0.15680000000000002</v>
      </c>
      <c r="S7" s="1">
        <f t="shared" si="3"/>
        <v>0.12740000000000001</v>
      </c>
      <c r="T7" s="1">
        <f t="shared" si="3"/>
        <v>0.12740000000000001</v>
      </c>
      <c r="U7" s="1">
        <f t="shared" si="3"/>
        <v>0.1666</v>
      </c>
      <c r="V7" s="1">
        <f t="shared" si="3"/>
        <v>0.1666</v>
      </c>
    </row>
    <row r="8" spans="1:22" x14ac:dyDescent="0.3">
      <c r="A8">
        <v>0.10299999999999999</v>
      </c>
      <c r="B8">
        <v>5</v>
      </c>
      <c r="C8" s="1">
        <f>$A$8*C2</f>
        <v>8.2400000000000001E-2</v>
      </c>
      <c r="D8" s="1">
        <f t="shared" ref="D8:V8" si="4">$A$8*D2</f>
        <v>8.2400000000000001E-2</v>
      </c>
      <c r="E8" s="1">
        <f t="shared" si="4"/>
        <v>0.1133</v>
      </c>
      <c r="F8" s="1">
        <f t="shared" si="4"/>
        <v>0.1133</v>
      </c>
      <c r="G8" s="1">
        <f t="shared" si="4"/>
        <v>5.1499999999999997E-2</v>
      </c>
      <c r="H8" s="1">
        <f t="shared" si="4"/>
        <v>5.1499999999999997E-2</v>
      </c>
      <c r="I8" s="1">
        <f t="shared" si="4"/>
        <v>0.1545</v>
      </c>
      <c r="J8" s="1">
        <f t="shared" si="4"/>
        <v>0.1545</v>
      </c>
      <c r="K8" s="1">
        <f t="shared" si="4"/>
        <v>7.2099999999999997E-2</v>
      </c>
      <c r="L8" s="1">
        <f t="shared" si="4"/>
        <v>7.2099999999999997E-2</v>
      </c>
      <c r="M8" s="1">
        <f t="shared" si="4"/>
        <v>6.1799999999999994E-2</v>
      </c>
      <c r="N8" s="1">
        <f t="shared" si="4"/>
        <v>6.1799999999999994E-2</v>
      </c>
      <c r="O8" s="1">
        <f t="shared" si="4"/>
        <v>9.2699999999999991E-2</v>
      </c>
      <c r="P8" s="1">
        <f t="shared" si="4"/>
        <v>9.2699999999999991E-2</v>
      </c>
      <c r="Q8" s="1">
        <f t="shared" si="4"/>
        <v>0.1648</v>
      </c>
      <c r="R8" s="1">
        <f t="shared" si="4"/>
        <v>0.1648</v>
      </c>
      <c r="S8" s="1">
        <f t="shared" si="4"/>
        <v>0.13389999999999999</v>
      </c>
      <c r="T8" s="1">
        <f t="shared" si="4"/>
        <v>0.13389999999999999</v>
      </c>
      <c r="U8" s="1">
        <f t="shared" si="4"/>
        <v>0.17509999999999998</v>
      </c>
      <c r="V8" s="1">
        <f t="shared" si="4"/>
        <v>0.17509999999999998</v>
      </c>
    </row>
  </sheetData>
  <pageMargins left="0.7" right="0.7" top="0.78740157499999996" bottom="0.78740157499999996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V22"/>
  <sheetViews>
    <sheetView zoomScaleNormal="100" workbookViewId="0">
      <selection activeCell="G24" sqref="G24"/>
    </sheetView>
  </sheetViews>
  <sheetFormatPr baseColWidth="10" defaultRowHeight="14.4" x14ac:dyDescent="0.3"/>
  <cols>
    <col min="1" max="1" width="14.77734375" bestFit="1" customWidth="1"/>
    <col min="2" max="21" width="8.77734375" customWidth="1"/>
    <col min="22" max="22" width="56.33203125" bestFit="1" customWidth="1"/>
  </cols>
  <sheetData>
    <row r="1" spans="1:22" x14ac:dyDescent="0.3">
      <c r="A1" t="s">
        <v>27</v>
      </c>
      <c r="B1" t="s">
        <v>29</v>
      </c>
    </row>
    <row r="2" spans="1:22" x14ac:dyDescent="0.3">
      <c r="A2" t="s">
        <v>28</v>
      </c>
      <c r="B2">
        <v>1</v>
      </c>
      <c r="C2">
        <v>2</v>
      </c>
      <c r="D2">
        <v>3</v>
      </c>
      <c r="E2">
        <v>4</v>
      </c>
      <c r="F2">
        <v>5</v>
      </c>
      <c r="G2">
        <v>6</v>
      </c>
      <c r="H2">
        <v>7</v>
      </c>
      <c r="I2">
        <v>8</v>
      </c>
      <c r="J2">
        <v>9</v>
      </c>
      <c r="K2">
        <v>10</v>
      </c>
      <c r="L2">
        <v>11</v>
      </c>
      <c r="M2">
        <v>12</v>
      </c>
      <c r="N2">
        <v>13</v>
      </c>
      <c r="O2">
        <v>14</v>
      </c>
      <c r="P2">
        <v>15</v>
      </c>
      <c r="Q2">
        <v>16</v>
      </c>
      <c r="R2">
        <v>17</v>
      </c>
      <c r="S2">
        <v>18</v>
      </c>
      <c r="T2">
        <v>19</v>
      </c>
      <c r="U2">
        <v>20</v>
      </c>
    </row>
    <row r="3" spans="1:22" x14ac:dyDescent="0.3">
      <c r="A3">
        <v>1</v>
      </c>
      <c r="B3">
        <v>0</v>
      </c>
      <c r="C3">
        <v>0</v>
      </c>
      <c r="D3">
        <v>1.2999999999999999E-2</v>
      </c>
      <c r="E3">
        <v>1.2999999999999999E-2</v>
      </c>
      <c r="F3">
        <v>2.3E-2</v>
      </c>
      <c r="G3">
        <v>2.3E-2</v>
      </c>
      <c r="H3">
        <v>3.4000000000000002E-2</v>
      </c>
      <c r="I3">
        <v>3.4000000000000002E-2</v>
      </c>
      <c r="J3">
        <v>3.9E-2</v>
      </c>
      <c r="K3">
        <v>3.9E-2</v>
      </c>
      <c r="L3">
        <v>1.7999999999999999E-2</v>
      </c>
      <c r="M3">
        <v>1.7999999999999999E-2</v>
      </c>
      <c r="N3">
        <v>2.5000000000000001E-2</v>
      </c>
      <c r="O3">
        <v>2.5000000000000001E-2</v>
      </c>
      <c r="P3">
        <v>3.5000000000000003E-2</v>
      </c>
      <c r="Q3">
        <v>3.5000000000000003E-2</v>
      </c>
      <c r="R3">
        <v>4.1000000000000002E-2</v>
      </c>
      <c r="S3">
        <v>4.1000000000000002E-2</v>
      </c>
      <c r="T3">
        <v>2.7E-2</v>
      </c>
      <c r="U3">
        <v>2.7E-2</v>
      </c>
    </row>
    <row r="4" spans="1:22" x14ac:dyDescent="0.3">
      <c r="A4">
        <v>2</v>
      </c>
      <c r="C4" s="1">
        <v>0</v>
      </c>
      <c r="D4">
        <v>1.2999999999999999E-2</v>
      </c>
      <c r="E4">
        <v>1.2999999999999999E-2</v>
      </c>
      <c r="F4">
        <v>2.3E-2</v>
      </c>
      <c r="G4">
        <v>2.3E-2</v>
      </c>
      <c r="H4">
        <v>3.4000000000000002E-2</v>
      </c>
      <c r="I4">
        <v>3.4000000000000002E-2</v>
      </c>
      <c r="J4">
        <v>3.9E-2</v>
      </c>
      <c r="K4">
        <v>3.9E-2</v>
      </c>
      <c r="L4">
        <v>1.7999999999999999E-2</v>
      </c>
      <c r="M4">
        <v>1.7999999999999999E-2</v>
      </c>
      <c r="N4">
        <v>2.5000000000000001E-2</v>
      </c>
      <c r="O4">
        <v>2.5000000000000001E-2</v>
      </c>
      <c r="P4">
        <v>3.5000000000000003E-2</v>
      </c>
      <c r="Q4">
        <v>3.5000000000000003E-2</v>
      </c>
      <c r="R4">
        <v>4.1000000000000002E-2</v>
      </c>
      <c r="S4">
        <v>4.1000000000000002E-2</v>
      </c>
      <c r="T4">
        <v>2.7E-2</v>
      </c>
      <c r="U4">
        <v>2.7E-2</v>
      </c>
      <c r="V4" s="1"/>
    </row>
    <row r="5" spans="1:22" x14ac:dyDescent="0.3">
      <c r="A5">
        <v>3</v>
      </c>
      <c r="C5" s="1"/>
      <c r="D5" s="1">
        <v>0</v>
      </c>
      <c r="E5" s="1">
        <v>0</v>
      </c>
      <c r="F5" s="1">
        <v>2.5000000000000001E-2</v>
      </c>
      <c r="G5" s="1">
        <v>2.5000000000000001E-2</v>
      </c>
      <c r="H5" s="1">
        <v>8.9999999999999993E-3</v>
      </c>
      <c r="I5" s="1">
        <v>8.9999999999999993E-3</v>
      </c>
      <c r="J5" s="1">
        <v>2.8000000000000001E-2</v>
      </c>
      <c r="K5" s="1">
        <v>2.8000000000000001E-2</v>
      </c>
      <c r="L5" s="1">
        <v>3.5000000000000003E-2</v>
      </c>
      <c r="M5" s="1">
        <v>3.5000000000000003E-2</v>
      </c>
      <c r="N5" s="1">
        <v>4.4999999999999998E-2</v>
      </c>
      <c r="O5" s="1">
        <v>4.4999999999999998E-2</v>
      </c>
      <c r="P5" s="1">
        <v>2.5999999999999999E-2</v>
      </c>
      <c r="Q5" s="1">
        <v>2.5999999999999999E-2</v>
      </c>
      <c r="R5" s="1">
        <v>1.4999999999999999E-2</v>
      </c>
      <c r="S5" s="1">
        <v>1.4999999999999999E-2</v>
      </c>
      <c r="T5" s="1">
        <v>4.7E-2</v>
      </c>
      <c r="U5" s="1">
        <v>4.7E-2</v>
      </c>
      <c r="V5" s="1"/>
    </row>
    <row r="6" spans="1:22" x14ac:dyDescent="0.3">
      <c r="A6">
        <v>4</v>
      </c>
      <c r="C6" s="1"/>
      <c r="D6" s="1"/>
      <c r="E6" s="1">
        <v>0</v>
      </c>
      <c r="F6" s="1">
        <v>2.5000000000000001E-2</v>
      </c>
      <c r="G6" s="1">
        <v>2.5000000000000001E-2</v>
      </c>
      <c r="H6" s="1">
        <v>8.9999999999999993E-3</v>
      </c>
      <c r="I6" s="1">
        <v>8.9999999999999993E-3</v>
      </c>
      <c r="J6" s="1">
        <v>2.8000000000000001E-2</v>
      </c>
      <c r="K6" s="1">
        <v>2.8000000000000001E-2</v>
      </c>
      <c r="L6" s="1">
        <v>3.5000000000000003E-2</v>
      </c>
      <c r="M6" s="1">
        <v>3.5000000000000003E-2</v>
      </c>
      <c r="N6" s="1">
        <v>4.4999999999999998E-2</v>
      </c>
      <c r="O6" s="1">
        <v>4.4999999999999998E-2</v>
      </c>
      <c r="P6" s="1">
        <v>2.5999999999999999E-2</v>
      </c>
      <c r="Q6" s="1">
        <v>2.5999999999999999E-2</v>
      </c>
      <c r="R6" s="1">
        <v>1.4999999999999999E-2</v>
      </c>
      <c r="S6" s="1">
        <v>1.4999999999999999E-2</v>
      </c>
      <c r="T6" s="1">
        <v>4.7E-2</v>
      </c>
      <c r="U6" s="1">
        <v>4.7E-2</v>
      </c>
      <c r="V6" s="1"/>
    </row>
    <row r="7" spans="1:22" x14ac:dyDescent="0.3">
      <c r="A7">
        <v>5</v>
      </c>
      <c r="C7" s="1"/>
      <c r="D7" s="1"/>
      <c r="E7" s="1"/>
      <c r="F7" s="1">
        <v>0</v>
      </c>
      <c r="G7" s="1">
        <v>0</v>
      </c>
      <c r="H7" s="1">
        <v>3.1E-2</v>
      </c>
      <c r="I7" s="1">
        <v>3.1E-2</v>
      </c>
      <c r="J7" s="1">
        <v>1.4999999999999999E-2</v>
      </c>
      <c r="K7" s="1">
        <v>1.4999999999999999E-2</v>
      </c>
      <c r="L7" s="1">
        <v>4.8000000000000001E-2</v>
      </c>
      <c r="M7" s="1">
        <v>4.8000000000000001E-2</v>
      </c>
      <c r="N7" s="1">
        <v>3.7999999999999999E-2</v>
      </c>
      <c r="O7" s="1">
        <v>3.7999999999999999E-2</v>
      </c>
      <c r="P7" s="1">
        <v>1.7000000000000001E-2</v>
      </c>
      <c r="Q7" s="1">
        <v>1.7000000000000001E-2</v>
      </c>
      <c r="R7" s="1">
        <v>2.5000000000000001E-2</v>
      </c>
      <c r="S7" s="1">
        <v>2.5000000000000001E-2</v>
      </c>
      <c r="T7" s="1">
        <v>3.2000000000000001E-2</v>
      </c>
      <c r="U7" s="1">
        <v>3.2000000000000001E-2</v>
      </c>
      <c r="V7" s="1"/>
    </row>
    <row r="8" spans="1:22" x14ac:dyDescent="0.3">
      <c r="A8">
        <v>6</v>
      </c>
      <c r="C8" s="1"/>
      <c r="D8" s="1"/>
      <c r="E8" s="1"/>
      <c r="F8" s="1"/>
      <c r="G8" s="1">
        <v>0</v>
      </c>
      <c r="H8" s="1">
        <v>3.1E-2</v>
      </c>
      <c r="I8" s="1">
        <v>3.1E-2</v>
      </c>
      <c r="J8" s="1">
        <v>1.4999999999999999E-2</v>
      </c>
      <c r="K8" s="1">
        <v>1.4999999999999999E-2</v>
      </c>
      <c r="L8" s="1">
        <v>4.8000000000000001E-2</v>
      </c>
      <c r="M8" s="1">
        <v>4.8000000000000001E-2</v>
      </c>
      <c r="N8" s="1">
        <v>3.7999999999999999E-2</v>
      </c>
      <c r="O8" s="1">
        <v>3.7999999999999999E-2</v>
      </c>
      <c r="P8" s="1">
        <v>1.7000000000000001E-2</v>
      </c>
      <c r="Q8" s="1">
        <v>1.7000000000000001E-2</v>
      </c>
      <c r="R8" s="1">
        <v>2.5000000000000001E-2</v>
      </c>
      <c r="S8" s="1">
        <v>2.5000000000000001E-2</v>
      </c>
      <c r="T8" s="1">
        <v>3.2000000000000001E-2</v>
      </c>
      <c r="U8" s="1">
        <v>3.2000000000000001E-2</v>
      </c>
      <c r="V8" s="1"/>
    </row>
    <row r="9" spans="1:22" x14ac:dyDescent="0.3">
      <c r="A9">
        <v>7</v>
      </c>
      <c r="H9">
        <v>0</v>
      </c>
      <c r="I9">
        <v>0</v>
      </c>
      <c r="J9" s="1">
        <v>2.5000000000000001E-2</v>
      </c>
      <c r="K9" s="1">
        <v>2.5000000000000001E-2</v>
      </c>
      <c r="L9" s="1">
        <v>4.1000000000000002E-2</v>
      </c>
      <c r="M9" s="1">
        <v>4.1000000000000002E-2</v>
      </c>
      <c r="N9" s="1">
        <v>2.8000000000000001E-2</v>
      </c>
      <c r="O9" s="1">
        <v>2.8000000000000001E-2</v>
      </c>
      <c r="P9" s="1">
        <v>3.3000000000000002E-2</v>
      </c>
      <c r="Q9" s="1">
        <v>3.3000000000000002E-2</v>
      </c>
      <c r="R9" s="1">
        <v>2.4E-2</v>
      </c>
      <c r="S9" s="1">
        <v>2.4E-2</v>
      </c>
      <c r="T9" s="1">
        <v>4.1000000000000002E-2</v>
      </c>
      <c r="U9" s="1">
        <v>4.1000000000000002E-2</v>
      </c>
    </row>
    <row r="10" spans="1:22" x14ac:dyDescent="0.3">
      <c r="A10">
        <v>8</v>
      </c>
      <c r="I10">
        <v>0</v>
      </c>
      <c r="J10" s="1">
        <v>2.5000000000000001E-2</v>
      </c>
      <c r="K10" s="1">
        <v>2.5000000000000001E-2</v>
      </c>
      <c r="L10" s="1">
        <v>4.1000000000000002E-2</v>
      </c>
      <c r="M10" s="1">
        <v>4.1000000000000002E-2</v>
      </c>
      <c r="N10" s="1">
        <v>2.8000000000000001E-2</v>
      </c>
      <c r="O10" s="1">
        <v>2.8000000000000001E-2</v>
      </c>
      <c r="P10" s="1">
        <v>3.3000000000000002E-2</v>
      </c>
      <c r="Q10" s="1">
        <v>3.3000000000000002E-2</v>
      </c>
      <c r="R10" s="1">
        <v>2.4E-2</v>
      </c>
      <c r="S10" s="1">
        <v>2.4E-2</v>
      </c>
      <c r="T10" s="1">
        <v>4.1000000000000002E-2</v>
      </c>
      <c r="U10" s="1">
        <v>4.1000000000000002E-2</v>
      </c>
    </row>
    <row r="11" spans="1:22" x14ac:dyDescent="0.3">
      <c r="A11">
        <v>9</v>
      </c>
      <c r="J11">
        <v>0</v>
      </c>
      <c r="K11">
        <v>0</v>
      </c>
    </row>
    <row r="12" spans="1:22" x14ac:dyDescent="0.3">
      <c r="A12">
        <v>10</v>
      </c>
      <c r="K12">
        <v>0</v>
      </c>
    </row>
    <row r="13" spans="1:22" x14ac:dyDescent="0.3">
      <c r="A13">
        <v>11</v>
      </c>
      <c r="L13">
        <v>0</v>
      </c>
      <c r="M13">
        <v>0</v>
      </c>
    </row>
    <row r="14" spans="1:22" x14ac:dyDescent="0.3">
      <c r="A14">
        <v>12</v>
      </c>
      <c r="M14">
        <v>0</v>
      </c>
    </row>
    <row r="15" spans="1:22" x14ac:dyDescent="0.3">
      <c r="A15">
        <v>13</v>
      </c>
      <c r="N15">
        <v>0</v>
      </c>
      <c r="O15">
        <v>0</v>
      </c>
    </row>
    <row r="16" spans="1:22" x14ac:dyDescent="0.3">
      <c r="A16">
        <v>14</v>
      </c>
      <c r="O16">
        <v>0</v>
      </c>
    </row>
    <row r="17" spans="1:21" x14ac:dyDescent="0.3">
      <c r="A17">
        <v>15</v>
      </c>
      <c r="P17">
        <v>0</v>
      </c>
      <c r="Q17">
        <v>0</v>
      </c>
    </row>
    <row r="18" spans="1:21" x14ac:dyDescent="0.3">
      <c r="A18">
        <v>16</v>
      </c>
      <c r="Q18">
        <v>0</v>
      </c>
    </row>
    <row r="19" spans="1:21" x14ac:dyDescent="0.3">
      <c r="A19">
        <v>17</v>
      </c>
      <c r="R19">
        <v>0</v>
      </c>
      <c r="S19">
        <v>0</v>
      </c>
    </row>
    <row r="20" spans="1:21" x14ac:dyDescent="0.3">
      <c r="A20">
        <v>18</v>
      </c>
      <c r="S20">
        <v>0</v>
      </c>
    </row>
    <row r="21" spans="1:21" x14ac:dyDescent="0.3">
      <c r="A21">
        <v>19</v>
      </c>
      <c r="T21">
        <v>0</v>
      </c>
      <c r="U21">
        <v>0</v>
      </c>
    </row>
    <row r="22" spans="1:21" x14ac:dyDescent="0.3">
      <c r="A22">
        <v>20</v>
      </c>
      <c r="U22">
        <v>0</v>
      </c>
    </row>
  </sheetData>
  <pageMargins left="0.7" right="0.7" top="0.78740157499999996" bottom="0.78740157499999996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9"/>
  <sheetViews>
    <sheetView workbookViewId="0">
      <selection activeCell="E14" sqref="E14"/>
    </sheetView>
  </sheetViews>
  <sheetFormatPr baseColWidth="10" defaultRowHeight="14.4" x14ac:dyDescent="0.3"/>
  <cols>
    <col min="2" max="2" width="26" bestFit="1" customWidth="1"/>
    <col min="3" max="3" width="18.6640625" bestFit="1" customWidth="1"/>
    <col min="4" max="4" width="24" bestFit="1" customWidth="1"/>
    <col min="5" max="5" width="25.77734375" bestFit="1" customWidth="1"/>
  </cols>
  <sheetData>
    <row r="1" spans="1:5" x14ac:dyDescent="0.3">
      <c r="A1" t="s">
        <v>24</v>
      </c>
      <c r="C1">
        <v>50</v>
      </c>
      <c r="D1">
        <f>SUM(D3:D9)</f>
        <v>23.75</v>
      </c>
    </row>
    <row r="2" spans="1:5" x14ac:dyDescent="0.3">
      <c r="A2" t="s">
        <v>8</v>
      </c>
      <c r="B2" t="s">
        <v>26</v>
      </c>
      <c r="C2" t="s">
        <v>14</v>
      </c>
      <c r="D2" t="s">
        <v>15</v>
      </c>
      <c r="E2" t="s">
        <v>25</v>
      </c>
    </row>
    <row r="3" spans="1:5" x14ac:dyDescent="0.3">
      <c r="A3">
        <v>1</v>
      </c>
      <c r="B3">
        <v>0.25</v>
      </c>
      <c r="C3">
        <f>B3*$C$1</f>
        <v>12.5</v>
      </c>
      <c r="D3" s="2">
        <f>C3*E3</f>
        <v>8.75</v>
      </c>
      <c r="E3">
        <v>0.7</v>
      </c>
    </row>
    <row r="4" spans="1:5" x14ac:dyDescent="0.3">
      <c r="A4">
        <v>2</v>
      </c>
      <c r="B4">
        <v>0.2</v>
      </c>
      <c r="C4">
        <f t="shared" ref="C4:C9" si="0">B4*$C$1</f>
        <v>10</v>
      </c>
      <c r="D4" s="2">
        <f t="shared" ref="D4:D9" si="1">C4*E4</f>
        <v>3</v>
      </c>
      <c r="E4">
        <v>0.3</v>
      </c>
    </row>
    <row r="5" spans="1:5" x14ac:dyDescent="0.3">
      <c r="A5">
        <v>3</v>
      </c>
      <c r="B5">
        <v>0.05</v>
      </c>
      <c r="C5">
        <f t="shared" si="0"/>
        <v>2.5</v>
      </c>
      <c r="D5" s="2">
        <f t="shared" si="1"/>
        <v>1</v>
      </c>
      <c r="E5">
        <v>0.4</v>
      </c>
    </row>
    <row r="6" spans="1:5" x14ac:dyDescent="0.3">
      <c r="A6">
        <v>4</v>
      </c>
      <c r="B6">
        <v>0.15</v>
      </c>
      <c r="C6">
        <f t="shared" si="0"/>
        <v>7.5</v>
      </c>
      <c r="D6" s="2">
        <f t="shared" si="1"/>
        <v>3.75</v>
      </c>
      <c r="E6">
        <v>0.5</v>
      </c>
    </row>
    <row r="7" spans="1:5" x14ac:dyDescent="0.3">
      <c r="A7">
        <v>5</v>
      </c>
      <c r="B7">
        <v>0.1</v>
      </c>
      <c r="C7">
        <f t="shared" si="0"/>
        <v>5</v>
      </c>
      <c r="D7" s="2">
        <f t="shared" si="1"/>
        <v>2</v>
      </c>
      <c r="E7">
        <v>0.4</v>
      </c>
    </row>
    <row r="8" spans="1:5" x14ac:dyDescent="0.3">
      <c r="A8">
        <v>6</v>
      </c>
      <c r="B8">
        <v>0.1</v>
      </c>
      <c r="C8">
        <f t="shared" si="0"/>
        <v>5</v>
      </c>
      <c r="D8" s="2">
        <f t="shared" si="1"/>
        <v>3</v>
      </c>
      <c r="E8">
        <v>0.6</v>
      </c>
    </row>
    <row r="9" spans="1:5" x14ac:dyDescent="0.3">
      <c r="A9">
        <v>7</v>
      </c>
      <c r="B9">
        <v>0.15</v>
      </c>
      <c r="C9">
        <f t="shared" si="0"/>
        <v>7.5</v>
      </c>
      <c r="D9" s="2">
        <f t="shared" si="1"/>
        <v>2.25</v>
      </c>
      <c r="E9">
        <v>0.3</v>
      </c>
    </row>
  </sheetData>
  <pageMargins left="0.7" right="0.7" top="0.78740157499999996" bottom="0.78740157499999996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2"/>
  <sheetViews>
    <sheetView workbookViewId="0">
      <selection activeCell="A3" sqref="A3"/>
    </sheetView>
  </sheetViews>
  <sheetFormatPr baseColWidth="10" defaultRowHeight="14.4" x14ac:dyDescent="0.3"/>
  <cols>
    <col min="1" max="1" width="39.109375" bestFit="1" customWidth="1"/>
  </cols>
  <sheetData>
    <row r="1" spans="1:2" x14ac:dyDescent="0.3">
      <c r="A1" t="s">
        <v>4</v>
      </c>
      <c r="B1">
        <v>300</v>
      </c>
    </row>
    <row r="2" spans="1:2" x14ac:dyDescent="0.3">
      <c r="A2" t="s">
        <v>16</v>
      </c>
      <c r="B2">
        <v>0.44</v>
      </c>
    </row>
  </sheetData>
  <pageMargins left="0.7" right="0.7" top="0.78740157499999996" bottom="0.78740157499999996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baseColWidth="10" defaultRowHeight="14.4" x14ac:dyDescent="0.3"/>
  <sheetData/>
  <pageMargins left="0.7" right="0.7" top="0.78740157499999996" bottom="0.78740157499999996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14</vt:i4>
      </vt:variant>
    </vt:vector>
  </HeadingPairs>
  <TitlesOfParts>
    <vt:vector size="14" baseType="lpstr">
      <vt:lpstr>Facilities F</vt:lpstr>
      <vt:lpstr>Location F in N</vt:lpstr>
      <vt:lpstr>Capacity</vt:lpstr>
      <vt:lpstr>Purchase Price from Supplier</vt:lpstr>
      <vt:lpstr>CIF from Supplier M1</vt:lpstr>
      <vt:lpstr>CIF from Supplier M2</vt:lpstr>
      <vt:lpstr>CIF from Supplier M3</vt:lpstr>
      <vt:lpstr>CIF from Supplier M4</vt:lpstr>
      <vt:lpstr>CIF from Supplier M6</vt:lpstr>
      <vt:lpstr>CIF from Supplier M7</vt:lpstr>
      <vt:lpstr>CIF between facilities M5</vt:lpstr>
      <vt:lpstr>Demand</vt:lpstr>
      <vt:lpstr>Constant</vt:lpstr>
      <vt:lpstr>Timing Model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Sarah</dc:creator>
  <cp:lastModifiedBy>Sarah</cp:lastModifiedBy>
  <dcterms:created xsi:type="dcterms:W3CDTF">2017-10-31T13:49:41Z</dcterms:created>
  <dcterms:modified xsi:type="dcterms:W3CDTF">2017-11-01T12:27:51Z</dcterms:modified>
</cp:coreProperties>
</file>