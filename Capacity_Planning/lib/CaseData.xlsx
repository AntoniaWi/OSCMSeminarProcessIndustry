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Sarah\Documents\GitHub\OSCMSeminarProcessIndustry\Capacity_Planning\lib\"/>
    </mc:Choice>
  </mc:AlternateContent>
  <bookViews>
    <workbookView xWindow="0" yWindow="0" windowWidth="23040" windowHeight="9096"/>
  </bookViews>
  <sheets>
    <sheet name="DataTiming" sheetId="29" r:id="rId1"/>
    <sheet name="F" sheetId="15" r:id="rId2"/>
    <sheet name="F in N" sheetId="4" r:id="rId3"/>
    <sheet name="IMf" sheetId="17" r:id="rId4"/>
    <sheet name="OMf" sheetId="18" r:id="rId5"/>
    <sheet name="Const." sheetId="3" r:id="rId6"/>
    <sheet name="TRn" sheetId="16" r:id="rId7"/>
    <sheet name="MassBalance" sheetId="19" r:id="rId8"/>
    <sheet name="DataF" sheetId="1" r:id="rId9"/>
    <sheet name="Dict (i=8)" sheetId="5" r:id="rId10"/>
    <sheet name="Sis" sheetId="27" r:id="rId11"/>
    <sheet name="Pif" sheetId="6" r:id="rId12"/>
    <sheet name="CIF1sf" sheetId="8" r:id="rId13"/>
    <sheet name="CIF2sf" sheetId="20" r:id="rId14"/>
    <sheet name="CIF3sf" sheetId="21" r:id="rId15"/>
    <sheet name="CIF4sf" sheetId="22" r:id="rId16"/>
    <sheet name="CIF5sf" sheetId="23" r:id="rId17"/>
    <sheet name="CIF6sf" sheetId="24" r:id="rId18"/>
    <sheet name="CIF7sf" sheetId="25" r:id="rId19"/>
    <sheet name="IDisf" sheetId="26" r:id="rId20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6" i="29" l="1"/>
  <c r="H5" i="29"/>
  <c r="B12" i="29"/>
  <c r="B4" i="29"/>
  <c r="B2" i="24" l="1"/>
  <c r="C2" i="25"/>
  <c r="D2" i="25"/>
  <c r="E2" i="25"/>
  <c r="F2" i="25"/>
  <c r="G2" i="25"/>
  <c r="H2" i="25"/>
  <c r="I2" i="25"/>
  <c r="J2" i="25"/>
  <c r="K2" i="25"/>
  <c r="C3" i="25"/>
  <c r="D3" i="25"/>
  <c r="E3" i="25"/>
  <c r="F3" i="25"/>
  <c r="G3" i="25"/>
  <c r="H3" i="25"/>
  <c r="I3" i="25"/>
  <c r="J3" i="25"/>
  <c r="K3" i="25"/>
  <c r="C4" i="25"/>
  <c r="D4" i="25"/>
  <c r="E4" i="25"/>
  <c r="F4" i="25"/>
  <c r="G4" i="25"/>
  <c r="H4" i="25"/>
  <c r="I4" i="25"/>
  <c r="J4" i="25"/>
  <c r="K4" i="25"/>
  <c r="C5" i="25"/>
  <c r="D5" i="25"/>
  <c r="E5" i="25"/>
  <c r="F5" i="25"/>
  <c r="G5" i="25"/>
  <c r="H5" i="25"/>
  <c r="I5" i="25"/>
  <c r="J5" i="25"/>
  <c r="K5" i="25"/>
  <c r="C6" i="25"/>
  <c r="D6" i="25"/>
  <c r="E6" i="25"/>
  <c r="F6" i="25"/>
  <c r="G6" i="25"/>
  <c r="H6" i="25"/>
  <c r="I6" i="25"/>
  <c r="J6" i="25"/>
  <c r="K6" i="25"/>
  <c r="B3" i="25"/>
  <c r="B4" i="25"/>
  <c r="B5" i="25"/>
  <c r="B6" i="25"/>
  <c r="B2" i="25"/>
  <c r="C2" i="24"/>
  <c r="D2" i="24"/>
  <c r="E2" i="24"/>
  <c r="F2" i="24"/>
  <c r="G2" i="24"/>
  <c r="H2" i="24"/>
  <c r="I2" i="24"/>
  <c r="J2" i="24"/>
  <c r="K2" i="24"/>
  <c r="C3" i="24"/>
  <c r="D3" i="24"/>
  <c r="E3" i="24"/>
  <c r="F3" i="24"/>
  <c r="G3" i="24"/>
  <c r="H3" i="24"/>
  <c r="I3" i="24"/>
  <c r="J3" i="24"/>
  <c r="K3" i="24"/>
  <c r="C4" i="24"/>
  <c r="D4" i="24"/>
  <c r="E4" i="24"/>
  <c r="F4" i="24"/>
  <c r="G4" i="24"/>
  <c r="H4" i="24"/>
  <c r="I4" i="24"/>
  <c r="J4" i="24"/>
  <c r="K4" i="24"/>
  <c r="C5" i="24"/>
  <c r="D5" i="24"/>
  <c r="E5" i="24"/>
  <c r="F5" i="24"/>
  <c r="G5" i="24"/>
  <c r="H5" i="24"/>
  <c r="I5" i="24"/>
  <c r="J5" i="24"/>
  <c r="K5" i="24"/>
  <c r="C6" i="24"/>
  <c r="D6" i="24"/>
  <c r="E6" i="24"/>
  <c r="F6" i="24"/>
  <c r="G6" i="24"/>
  <c r="H6" i="24"/>
  <c r="I6" i="24"/>
  <c r="J6" i="24"/>
  <c r="K6" i="24"/>
  <c r="B3" i="24"/>
  <c r="B4" i="24"/>
  <c r="B5" i="24"/>
  <c r="B6" i="24"/>
  <c r="C2" i="22"/>
  <c r="D2" i="22"/>
  <c r="E2" i="22"/>
  <c r="F2" i="22"/>
  <c r="G2" i="22"/>
  <c r="H2" i="22"/>
  <c r="I2" i="22"/>
  <c r="J2" i="22"/>
  <c r="K2" i="22"/>
  <c r="C3" i="22"/>
  <c r="D3" i="22"/>
  <c r="E3" i="22"/>
  <c r="F3" i="22"/>
  <c r="G3" i="22"/>
  <c r="H3" i="22"/>
  <c r="I3" i="22"/>
  <c r="J3" i="22"/>
  <c r="K3" i="22"/>
  <c r="C4" i="22"/>
  <c r="D4" i="22"/>
  <c r="E4" i="22"/>
  <c r="F4" i="22"/>
  <c r="G4" i="22"/>
  <c r="H4" i="22"/>
  <c r="I4" i="22"/>
  <c r="J4" i="22"/>
  <c r="K4" i="22"/>
  <c r="C5" i="22"/>
  <c r="D5" i="22"/>
  <c r="E5" i="22"/>
  <c r="F5" i="22"/>
  <c r="G5" i="22"/>
  <c r="H5" i="22"/>
  <c r="I5" i="22"/>
  <c r="J5" i="22"/>
  <c r="K5" i="22"/>
  <c r="C6" i="22"/>
  <c r="D6" i="22"/>
  <c r="E6" i="22"/>
  <c r="F6" i="22"/>
  <c r="G6" i="22"/>
  <c r="H6" i="22"/>
  <c r="I6" i="22"/>
  <c r="J6" i="22"/>
  <c r="K6" i="22"/>
  <c r="B3" i="22"/>
  <c r="B4" i="22"/>
  <c r="B5" i="22"/>
  <c r="B6" i="22"/>
  <c r="B2" i="22"/>
  <c r="C2" i="21"/>
  <c r="D2" i="21"/>
  <c r="E2" i="21"/>
  <c r="F2" i="21"/>
  <c r="G2" i="21"/>
  <c r="H2" i="21"/>
  <c r="I2" i="21"/>
  <c r="J2" i="21"/>
  <c r="K2" i="21"/>
  <c r="C3" i="21"/>
  <c r="D3" i="21"/>
  <c r="E3" i="21"/>
  <c r="F3" i="21"/>
  <c r="G3" i="21"/>
  <c r="H3" i="21"/>
  <c r="I3" i="21"/>
  <c r="J3" i="21"/>
  <c r="K3" i="21"/>
  <c r="C4" i="21"/>
  <c r="D4" i="21"/>
  <c r="E4" i="21"/>
  <c r="F4" i="21"/>
  <c r="G4" i="21"/>
  <c r="H4" i="21"/>
  <c r="I4" i="21"/>
  <c r="J4" i="21"/>
  <c r="K4" i="21"/>
  <c r="C5" i="21"/>
  <c r="D5" i="21"/>
  <c r="E5" i="21"/>
  <c r="F5" i="21"/>
  <c r="G5" i="21"/>
  <c r="H5" i="21"/>
  <c r="I5" i="21"/>
  <c r="J5" i="21"/>
  <c r="K5" i="21"/>
  <c r="C6" i="21"/>
  <c r="D6" i="21"/>
  <c r="E6" i="21"/>
  <c r="F6" i="21"/>
  <c r="G6" i="21"/>
  <c r="H6" i="21"/>
  <c r="I6" i="21"/>
  <c r="J6" i="21"/>
  <c r="K6" i="21"/>
  <c r="B3" i="21"/>
  <c r="B4" i="21"/>
  <c r="B5" i="21"/>
  <c r="B6" i="21"/>
  <c r="B2" i="21"/>
  <c r="C2" i="20"/>
  <c r="D2" i="20"/>
  <c r="E2" i="20"/>
  <c r="F2" i="20"/>
  <c r="G2" i="20"/>
  <c r="H2" i="20"/>
  <c r="I2" i="20"/>
  <c r="J2" i="20"/>
  <c r="K2" i="20"/>
  <c r="C3" i="20"/>
  <c r="D3" i="20"/>
  <c r="E3" i="20"/>
  <c r="F3" i="20"/>
  <c r="G3" i="20"/>
  <c r="H3" i="20"/>
  <c r="I3" i="20"/>
  <c r="J3" i="20"/>
  <c r="K3" i="20"/>
  <c r="C4" i="20"/>
  <c r="D4" i="20"/>
  <c r="E4" i="20"/>
  <c r="F4" i="20"/>
  <c r="G4" i="20"/>
  <c r="H4" i="20"/>
  <c r="I4" i="20"/>
  <c r="J4" i="20"/>
  <c r="K4" i="20"/>
  <c r="C5" i="20"/>
  <c r="D5" i="20"/>
  <c r="E5" i="20"/>
  <c r="F5" i="20"/>
  <c r="G5" i="20"/>
  <c r="H5" i="20"/>
  <c r="I5" i="20"/>
  <c r="J5" i="20"/>
  <c r="K5" i="20"/>
  <c r="C6" i="20"/>
  <c r="D6" i="20"/>
  <c r="E6" i="20"/>
  <c r="F6" i="20"/>
  <c r="G6" i="20"/>
  <c r="H6" i="20"/>
  <c r="I6" i="20"/>
  <c r="J6" i="20"/>
  <c r="K6" i="20"/>
  <c r="B3" i="20"/>
  <c r="B4" i="20"/>
  <c r="B5" i="20"/>
  <c r="B6" i="20"/>
  <c r="B2" i="20"/>
  <c r="C4" i="5" l="1"/>
  <c r="D4" i="5" s="1"/>
  <c r="C5" i="5"/>
  <c r="C6" i="5"/>
  <c r="D6" i="5" s="1"/>
  <c r="C7" i="5"/>
  <c r="D7" i="5" s="1"/>
  <c r="C8" i="5"/>
  <c r="D8" i="5" s="1"/>
  <c r="C9" i="5"/>
  <c r="C3" i="5"/>
  <c r="D3" i="5" s="1"/>
  <c r="D5" i="5"/>
  <c r="D9" i="5"/>
  <c r="D1" i="5" l="1"/>
</calcChain>
</file>

<file path=xl/sharedStrings.xml><?xml version="1.0" encoding="utf-8"?>
<sst xmlns="http://schemas.openxmlformats.org/spreadsheetml/2006/main" count="72" uniqueCount="53">
  <si>
    <t>Production days per year</t>
  </si>
  <si>
    <t>Nation n</t>
  </si>
  <si>
    <t>Customer c</t>
  </si>
  <si>
    <t>corporate tax TRn</t>
  </si>
  <si>
    <t>Sum</t>
  </si>
  <si>
    <t>IF</t>
  </si>
  <si>
    <t>Facility f</t>
  </si>
  <si>
    <t>F</t>
  </si>
  <si>
    <t>EF</t>
  </si>
  <si>
    <t>S_start</t>
  </si>
  <si>
    <t>C_final</t>
  </si>
  <si>
    <t>f/n</t>
  </si>
  <si>
    <t>f/i</t>
  </si>
  <si>
    <t>Project life Lf</t>
  </si>
  <si>
    <t>years</t>
  </si>
  <si>
    <t>days/year</t>
  </si>
  <si>
    <t>Percentage of Monopoly D</t>
  </si>
  <si>
    <t>s/f</t>
  </si>
  <si>
    <t>Budget for primary expansion (t=1)</t>
  </si>
  <si>
    <r>
      <t>Budget fo seconcary expansion (t=1+</t>
    </r>
    <r>
      <rPr>
        <sz val="11"/>
        <color theme="1"/>
        <rFont val="Calibri"/>
        <family val="2"/>
      </rPr>
      <t>∆t*)</t>
    </r>
  </si>
  <si>
    <t>$</t>
  </si>
  <si>
    <t>max cap. Quf [tons/day]</t>
  </si>
  <si>
    <t>min expansion qLf [tons/day]</t>
  </si>
  <si>
    <t>min production XLf [tons/day]</t>
  </si>
  <si>
    <t>MCf [$/ton]</t>
  </si>
  <si>
    <t>D Monopoly [tons/day]</t>
  </si>
  <si>
    <t>D Regular Market [tons/day]</t>
  </si>
  <si>
    <t>Percentage of D</t>
  </si>
  <si>
    <t>i/s [tons/day]</t>
  </si>
  <si>
    <t>f/i [$/ton]</t>
  </si>
  <si>
    <t>s/f [$/ton]</t>
  </si>
  <si>
    <t>alle Kosten bzw. Transportmengen müssen zum Zeitpunkt t auf ein Jahr hochgerechnet werden!</t>
  </si>
  <si>
    <t>planning horizon T</t>
  </si>
  <si>
    <r>
      <t xml:space="preserve">discount factor </t>
    </r>
    <r>
      <rPr>
        <sz val="11"/>
        <color theme="1"/>
        <rFont val="Calibri"/>
        <family val="2"/>
      </rPr>
      <t>α</t>
    </r>
  </si>
  <si>
    <t>construction time sp0</t>
  </si>
  <si>
    <t>construction time ss0</t>
  </si>
  <si>
    <t>construction cost cp</t>
  </si>
  <si>
    <t>set up cost Kp</t>
  </si>
  <si>
    <t>set up cost Ks</t>
  </si>
  <si>
    <t>weeks</t>
  </si>
  <si>
    <t>per week</t>
  </si>
  <si>
    <t>(5 years with 50 weeks per year)</t>
  </si>
  <si>
    <t>(or 0,95 per year)</t>
  </si>
  <si>
    <t>$/week</t>
  </si>
  <si>
    <t>This is slightly less than the time it will take for a new drug to go through the three stages of clinical trials and roughly the time it will take to build and qualify new capacity.</t>
  </si>
  <si>
    <r>
      <t xml:space="preserve">penalty costs </t>
    </r>
    <r>
      <rPr>
        <sz val="11"/>
        <color theme="1"/>
        <rFont val="Symbol"/>
        <family val="1"/>
        <charset val="2"/>
      </rPr>
      <t>p</t>
    </r>
  </si>
  <si>
    <t>gamma 0</t>
  </si>
  <si>
    <t>zeta 0</t>
  </si>
  <si>
    <t>gamma c</t>
  </si>
  <si>
    <t>capacity demand</t>
  </si>
  <si>
    <t>tons/day</t>
  </si>
  <si>
    <t>total cost p</t>
  </si>
  <si>
    <t>total cost 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</si>
</sst>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3" formatCode="_-* #,##0.00\ _€_-;\-* #,##0.00\ _€_-;_-* &quot;-&quot;??\ _€_-;_-@_-"/>
    <numFmt numFmtId="164" formatCode="0.000"/>
    <numFmt numFmtId="165" formatCode="0.0"/>
    <numFmt numFmtId="171" formatCode="_-* #,##0\ _€_-;\-* #,##0\ _€_-;_-* &quot;-&quot;??\ _€_-;_-@_-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Symbol"/>
      <family val="1"/>
      <charset val="2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21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1" fillId="4" borderId="1" xfId="0" applyFont="1" applyFill="1" applyBorder="1" applyAlignment="1">
      <alignment horizontal="center"/>
    </xf>
    <xf numFmtId="0" fontId="1" fillId="4" borderId="1" xfId="0" applyFont="1" applyFill="1" applyBorder="1"/>
    <xf numFmtId="0" fontId="1" fillId="5" borderId="0" xfId="0" applyFont="1" applyFill="1"/>
    <xf numFmtId="0" fontId="1" fillId="4" borderId="0" xfId="0" applyFont="1" applyFill="1"/>
    <xf numFmtId="0" fontId="0" fillId="5" borderId="0" xfId="0" applyFont="1" applyFill="1"/>
    <xf numFmtId="0" fontId="0" fillId="4" borderId="0" xfId="0" applyFont="1" applyFill="1"/>
    <xf numFmtId="0" fontId="0" fillId="0" borderId="0" xfId="0" applyFont="1"/>
    <xf numFmtId="165" fontId="0" fillId="0" borderId="0" xfId="0" applyNumberFormat="1" applyFont="1"/>
    <xf numFmtId="164" fontId="0" fillId="0" borderId="1" xfId="0" applyNumberFormat="1" applyBorder="1"/>
    <xf numFmtId="0" fontId="1" fillId="3" borderId="1" xfId="0" applyFont="1" applyFill="1" applyBorder="1"/>
    <xf numFmtId="0" fontId="1" fillId="3" borderId="1" xfId="0" applyFont="1" applyFill="1" applyBorder="1" applyAlignment="1">
      <alignment horizontal="center"/>
    </xf>
    <xf numFmtId="1" fontId="0" fillId="2" borderId="1" xfId="0" applyNumberFormat="1" applyFill="1" applyBorder="1"/>
    <xf numFmtId="1" fontId="0" fillId="0" borderId="1" xfId="0" applyNumberFormat="1" applyBorder="1"/>
    <xf numFmtId="0" fontId="3" fillId="0" borderId="0" xfId="0" applyFont="1"/>
    <xf numFmtId="43" fontId="0" fillId="0" borderId="0" xfId="1" applyFont="1"/>
    <xf numFmtId="171" fontId="0" fillId="0" borderId="0" xfId="1" applyNumberFormat="1" applyFont="1"/>
    <xf numFmtId="171" fontId="0" fillId="0" borderId="0" xfId="0" applyNumberFormat="1"/>
  </cellXfs>
  <cellStyles count="2">
    <cellStyle name="Komma" xfId="1" builtinId="3"/>
    <cellStyle name="Standard" xfId="0" builtinId="0"/>
  </cellStyles>
  <dxfs count="4"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518160</xdr:colOff>
      <xdr:row>3</xdr:row>
      <xdr:rowOff>91440</xdr:rowOff>
    </xdr:from>
    <xdr:to>
      <xdr:col>13</xdr:col>
      <xdr:colOff>243840</xdr:colOff>
      <xdr:row>6</xdr:row>
      <xdr:rowOff>91440</xdr:rowOff>
    </xdr:to>
    <xdr:sp macro="" textlink="">
      <xdr:nvSpPr>
        <xdr:cNvPr id="2" name="Rechteck 1"/>
        <xdr:cNvSpPr/>
      </xdr:nvSpPr>
      <xdr:spPr>
        <a:xfrm>
          <a:off x="8442960" y="640080"/>
          <a:ext cx="1859280" cy="548640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de-DE" sz="1100"/>
            <a:t>API</a:t>
          </a:r>
          <a:r>
            <a:rPr lang="de-DE" sz="1100" baseline="0"/>
            <a:t> = Material für das gilt:</a:t>
          </a:r>
        </a:p>
        <a:p>
          <a:pPr algn="l"/>
          <a:r>
            <a:rPr lang="de-DE" sz="1100" baseline="0"/>
            <a:t>OM(g)=IM(f)</a:t>
          </a:r>
          <a:endParaRPr lang="de-DE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701040</xdr:colOff>
      <xdr:row>1</xdr:row>
      <xdr:rowOff>144780</xdr:rowOff>
    </xdr:from>
    <xdr:to>
      <xdr:col>6</xdr:col>
      <xdr:colOff>670560</xdr:colOff>
      <xdr:row>4</xdr:row>
      <xdr:rowOff>45720</xdr:rowOff>
    </xdr:to>
    <xdr:sp macro="" textlink="">
      <xdr:nvSpPr>
        <xdr:cNvPr id="2" name="Rechteck 1"/>
        <xdr:cNvSpPr/>
      </xdr:nvSpPr>
      <xdr:spPr>
        <a:xfrm>
          <a:off x="4968240" y="327660"/>
          <a:ext cx="2346960" cy="449580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de-DE" sz="1100"/>
            <a:t>Budget constraint aufteilen</a:t>
          </a:r>
          <a:r>
            <a:rPr lang="de-DE" sz="1100" baseline="0"/>
            <a:t> für primary und secondary</a:t>
          </a:r>
          <a:endParaRPr lang="de-DE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/>
  </sheetPr>
  <dimension ref="A1:H13"/>
  <sheetViews>
    <sheetView tabSelected="1" workbookViewId="0">
      <selection activeCell="K15" sqref="K15"/>
    </sheetView>
  </sheetViews>
  <sheetFormatPr baseColWidth="10" defaultRowHeight="14.4" x14ac:dyDescent="0.3"/>
  <cols>
    <col min="1" max="1" width="18.6640625" bestFit="1" customWidth="1"/>
    <col min="2" max="2" width="15.33203125" bestFit="1" customWidth="1"/>
    <col min="8" max="8" width="13.88671875" bestFit="1" customWidth="1"/>
  </cols>
  <sheetData>
    <row r="1" spans="1:8" x14ac:dyDescent="0.3">
      <c r="A1" t="s">
        <v>32</v>
      </c>
      <c r="B1">
        <v>250</v>
      </c>
      <c r="C1" t="s">
        <v>39</v>
      </c>
      <c r="D1" t="s">
        <v>41</v>
      </c>
      <c r="G1" s="17" t="s">
        <v>44</v>
      </c>
    </row>
    <row r="2" spans="1:8" x14ac:dyDescent="0.3">
      <c r="A2" t="s">
        <v>33</v>
      </c>
      <c r="B2">
        <v>0.999</v>
      </c>
      <c r="C2" t="s">
        <v>40</v>
      </c>
      <c r="D2" t="s">
        <v>42</v>
      </c>
    </row>
    <row r="3" spans="1:8" x14ac:dyDescent="0.3">
      <c r="A3" t="s">
        <v>34</v>
      </c>
      <c r="B3">
        <v>250</v>
      </c>
      <c r="C3" t="s">
        <v>39</v>
      </c>
    </row>
    <row r="4" spans="1:8" x14ac:dyDescent="0.3">
      <c r="A4" t="s">
        <v>35</v>
      </c>
      <c r="B4">
        <f>3*4</f>
        <v>12</v>
      </c>
      <c r="C4" t="s">
        <v>39</v>
      </c>
    </row>
    <row r="5" spans="1:8" x14ac:dyDescent="0.3">
      <c r="A5" t="s">
        <v>36</v>
      </c>
      <c r="B5" s="19">
        <v>1000000</v>
      </c>
      <c r="C5" t="s">
        <v>43</v>
      </c>
      <c r="G5" t="s">
        <v>51</v>
      </c>
      <c r="H5" s="20">
        <f>B5*B3+B7</f>
        <v>260000000</v>
      </c>
    </row>
    <row r="6" spans="1:8" x14ac:dyDescent="0.3">
      <c r="A6" t="s">
        <v>36</v>
      </c>
      <c r="B6" s="19">
        <v>500000</v>
      </c>
      <c r="C6" t="s">
        <v>43</v>
      </c>
      <c r="G6" t="s">
        <v>52</v>
      </c>
      <c r="H6" s="20">
        <f>B6*B4+B8</f>
        <v>11000000</v>
      </c>
    </row>
    <row r="7" spans="1:8" x14ac:dyDescent="0.3">
      <c r="A7" t="s">
        <v>37</v>
      </c>
      <c r="B7" s="19">
        <v>10000000</v>
      </c>
      <c r="C7" t="s">
        <v>20</v>
      </c>
    </row>
    <row r="8" spans="1:8" x14ac:dyDescent="0.3">
      <c r="A8" t="s">
        <v>38</v>
      </c>
      <c r="B8" s="19">
        <v>5000000</v>
      </c>
      <c r="C8" t="s">
        <v>20</v>
      </c>
    </row>
    <row r="9" spans="1:8" x14ac:dyDescent="0.3">
      <c r="A9" t="s">
        <v>45</v>
      </c>
      <c r="B9" s="19">
        <v>20000000</v>
      </c>
      <c r="C9" t="s">
        <v>43</v>
      </c>
    </row>
    <row r="10" spans="1:8" x14ac:dyDescent="0.3">
      <c r="A10" t="s">
        <v>46</v>
      </c>
    </row>
    <row r="11" spans="1:8" x14ac:dyDescent="0.3">
      <c r="A11" t="s">
        <v>47</v>
      </c>
    </row>
    <row r="12" spans="1:8" x14ac:dyDescent="0.3">
      <c r="A12" t="s">
        <v>48</v>
      </c>
      <c r="B12">
        <f>200+B10</f>
        <v>200</v>
      </c>
    </row>
    <row r="13" spans="1:8" x14ac:dyDescent="0.3">
      <c r="A13" t="s">
        <v>49</v>
      </c>
      <c r="B13">
        <v>250</v>
      </c>
      <c r="C13" t="s">
        <v>50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E37"/>
  <sheetViews>
    <sheetView topLeftCell="A11" workbookViewId="0">
      <selection activeCell="A37" sqref="A37"/>
    </sheetView>
  </sheetViews>
  <sheetFormatPr baseColWidth="10" defaultRowHeight="14.4" x14ac:dyDescent="0.3"/>
  <cols>
    <col min="1" max="5" width="11.5546875" style="1"/>
  </cols>
  <sheetData>
    <row r="1" spans="1:5" x14ac:dyDescent="0.3">
      <c r="A1" s="1" t="s">
        <v>5</v>
      </c>
      <c r="B1" s="1">
        <v>1</v>
      </c>
      <c r="C1" s="1">
        <v>0</v>
      </c>
      <c r="D1" s="1">
        <v>0</v>
      </c>
      <c r="E1" s="1">
        <v>0</v>
      </c>
    </row>
    <row r="2" spans="1:5" x14ac:dyDescent="0.3">
      <c r="A2" s="1" t="s">
        <v>9</v>
      </c>
      <c r="B2" s="1">
        <v>0</v>
      </c>
      <c r="C2" s="1">
        <v>1</v>
      </c>
      <c r="D2" s="1">
        <v>1</v>
      </c>
      <c r="E2" s="1">
        <v>0</v>
      </c>
    </row>
    <row r="3" spans="1:5" x14ac:dyDescent="0.3">
      <c r="A3" s="1" t="s">
        <v>10</v>
      </c>
      <c r="B3" s="1">
        <v>0</v>
      </c>
      <c r="C3" s="1">
        <v>1</v>
      </c>
      <c r="D3" s="1">
        <v>0</v>
      </c>
      <c r="E3" s="1">
        <v>1</v>
      </c>
    </row>
    <row r="5" spans="1:5" x14ac:dyDescent="0.3">
      <c r="A5" s="1" t="s">
        <v>7</v>
      </c>
      <c r="B5" s="1" t="s">
        <v>5</v>
      </c>
      <c r="C5" s="1" t="s">
        <v>8</v>
      </c>
      <c r="D5" s="1" t="s">
        <v>9</v>
      </c>
      <c r="E5" s="1" t="s">
        <v>10</v>
      </c>
    </row>
    <row r="6" spans="1:5" x14ac:dyDescent="0.3">
      <c r="A6" s="1">
        <v>1</v>
      </c>
      <c r="B6" s="1">
        <v>1</v>
      </c>
      <c r="C6" s="1">
        <v>0</v>
      </c>
      <c r="D6" s="1">
        <v>0</v>
      </c>
      <c r="E6" s="1">
        <v>0</v>
      </c>
    </row>
    <row r="7" spans="1:5" x14ac:dyDescent="0.3">
      <c r="A7" s="1">
        <v>2</v>
      </c>
      <c r="B7" s="1">
        <v>1</v>
      </c>
      <c r="C7" s="1">
        <v>0</v>
      </c>
      <c r="D7" s="1">
        <v>0</v>
      </c>
      <c r="E7" s="1">
        <v>0</v>
      </c>
    </row>
    <row r="8" spans="1:5" x14ac:dyDescent="0.3">
      <c r="A8" s="1">
        <v>3</v>
      </c>
      <c r="B8" s="1">
        <v>1</v>
      </c>
      <c r="C8" s="1">
        <v>0</v>
      </c>
      <c r="D8" s="1">
        <v>0</v>
      </c>
      <c r="E8" s="1">
        <v>0</v>
      </c>
    </row>
    <row r="9" spans="1:5" x14ac:dyDescent="0.3">
      <c r="A9" s="1">
        <v>4</v>
      </c>
      <c r="B9" s="1">
        <v>1</v>
      </c>
      <c r="C9" s="1">
        <v>0</v>
      </c>
      <c r="D9" s="1">
        <v>0</v>
      </c>
      <c r="E9" s="1">
        <v>0</v>
      </c>
    </row>
    <row r="10" spans="1:5" x14ac:dyDescent="0.3">
      <c r="A10" s="1">
        <v>5</v>
      </c>
      <c r="B10" s="1">
        <v>1</v>
      </c>
      <c r="C10" s="1">
        <v>0</v>
      </c>
      <c r="D10" s="1">
        <v>0</v>
      </c>
      <c r="E10" s="1">
        <v>0</v>
      </c>
    </row>
    <row r="11" spans="1:5" x14ac:dyDescent="0.3">
      <c r="A11" s="1">
        <v>6</v>
      </c>
      <c r="B11" s="1">
        <v>1</v>
      </c>
      <c r="C11" s="1">
        <v>0</v>
      </c>
      <c r="D11" s="1">
        <v>0</v>
      </c>
      <c r="E11" s="1">
        <v>0</v>
      </c>
    </row>
    <row r="12" spans="1:5" x14ac:dyDescent="0.3">
      <c r="A12" s="1">
        <v>7</v>
      </c>
      <c r="B12" s="1">
        <v>1</v>
      </c>
      <c r="C12" s="1">
        <v>0</v>
      </c>
      <c r="D12" s="1">
        <v>0</v>
      </c>
      <c r="E12" s="1">
        <v>0</v>
      </c>
    </row>
    <row r="13" spans="1:5" x14ac:dyDescent="0.3">
      <c r="A13" s="1">
        <v>8</v>
      </c>
      <c r="B13" s="1">
        <v>1</v>
      </c>
      <c r="C13" s="1">
        <v>0</v>
      </c>
      <c r="D13" s="1">
        <v>0</v>
      </c>
      <c r="E13" s="1">
        <v>0</v>
      </c>
    </row>
    <row r="14" spans="1:5" x14ac:dyDescent="0.3">
      <c r="A14" s="1">
        <v>9</v>
      </c>
      <c r="B14" s="1">
        <v>1</v>
      </c>
      <c r="C14" s="1">
        <v>0</v>
      </c>
      <c r="D14" s="1">
        <v>0</v>
      </c>
      <c r="E14" s="1">
        <v>0</v>
      </c>
    </row>
    <row r="15" spans="1:5" x14ac:dyDescent="0.3">
      <c r="A15" s="1">
        <v>10</v>
      </c>
      <c r="B15" s="1">
        <v>1</v>
      </c>
      <c r="C15" s="1">
        <v>0</v>
      </c>
      <c r="D15" s="1">
        <v>0</v>
      </c>
      <c r="E15" s="1">
        <v>0</v>
      </c>
    </row>
    <row r="16" spans="1:5" x14ac:dyDescent="0.3">
      <c r="A16" s="1">
        <v>11</v>
      </c>
      <c r="B16" s="1">
        <v>1</v>
      </c>
      <c r="C16" s="1">
        <v>0</v>
      </c>
      <c r="D16" s="1">
        <v>0</v>
      </c>
      <c r="E16" s="1">
        <v>0</v>
      </c>
    </row>
    <row r="17" spans="1:5" x14ac:dyDescent="0.3">
      <c r="A17" s="1">
        <v>12</v>
      </c>
      <c r="B17" s="1">
        <v>1</v>
      </c>
      <c r="C17" s="1">
        <v>0</v>
      </c>
      <c r="D17" s="1">
        <v>0</v>
      </c>
      <c r="E17" s="1">
        <v>0</v>
      </c>
    </row>
    <row r="18" spans="1:5" x14ac:dyDescent="0.3">
      <c r="A18" s="1">
        <v>13</v>
      </c>
      <c r="B18" s="1">
        <v>1</v>
      </c>
      <c r="C18" s="1">
        <v>0</v>
      </c>
      <c r="D18" s="1">
        <v>0</v>
      </c>
      <c r="E18" s="1">
        <v>0</v>
      </c>
    </row>
    <row r="19" spans="1:5" x14ac:dyDescent="0.3">
      <c r="A19" s="1">
        <v>14</v>
      </c>
      <c r="B19" s="1">
        <v>1</v>
      </c>
      <c r="C19" s="1">
        <v>0</v>
      </c>
      <c r="D19" s="1">
        <v>0</v>
      </c>
      <c r="E19" s="1">
        <v>0</v>
      </c>
    </row>
    <row r="20" spans="1:5" x14ac:dyDescent="0.3">
      <c r="A20" s="1">
        <v>15</v>
      </c>
      <c r="B20" s="1">
        <v>1</v>
      </c>
      <c r="C20" s="1">
        <v>0</v>
      </c>
      <c r="D20" s="1">
        <v>0</v>
      </c>
      <c r="E20" s="1">
        <v>0</v>
      </c>
    </row>
    <row r="21" spans="1:5" x14ac:dyDescent="0.3">
      <c r="A21" s="1">
        <v>16</v>
      </c>
      <c r="B21" s="1">
        <v>1</v>
      </c>
      <c r="C21" s="1">
        <v>0</v>
      </c>
      <c r="D21" s="1">
        <v>0</v>
      </c>
      <c r="E21" s="1">
        <v>0</v>
      </c>
    </row>
    <row r="22" spans="1:5" x14ac:dyDescent="0.3">
      <c r="A22" s="1">
        <v>17</v>
      </c>
      <c r="B22" s="1">
        <v>1</v>
      </c>
      <c r="C22" s="1">
        <v>0</v>
      </c>
      <c r="D22" s="1">
        <v>0</v>
      </c>
      <c r="E22" s="1">
        <v>0</v>
      </c>
    </row>
    <row r="23" spans="1:5" x14ac:dyDescent="0.3">
      <c r="A23" s="1">
        <v>18</v>
      </c>
      <c r="B23" s="1">
        <v>1</v>
      </c>
      <c r="C23" s="1">
        <v>0</v>
      </c>
      <c r="D23" s="1">
        <v>0</v>
      </c>
      <c r="E23" s="1">
        <v>0</v>
      </c>
    </row>
    <row r="24" spans="1:5" x14ac:dyDescent="0.3">
      <c r="A24" s="1">
        <v>19</v>
      </c>
      <c r="B24" s="1">
        <v>1</v>
      </c>
      <c r="C24" s="1">
        <v>0</v>
      </c>
      <c r="D24" s="1">
        <v>0</v>
      </c>
      <c r="E24" s="1">
        <v>0</v>
      </c>
    </row>
    <row r="25" spans="1:5" x14ac:dyDescent="0.3">
      <c r="A25" s="1">
        <v>20</v>
      </c>
      <c r="B25" s="1">
        <v>1</v>
      </c>
      <c r="C25" s="1">
        <v>0</v>
      </c>
      <c r="D25" s="1">
        <v>0</v>
      </c>
      <c r="E25" s="1">
        <v>0</v>
      </c>
    </row>
    <row r="26" spans="1:5" x14ac:dyDescent="0.3">
      <c r="A26" s="1">
        <v>21</v>
      </c>
      <c r="B26" s="1">
        <v>0</v>
      </c>
      <c r="C26" s="1">
        <v>1</v>
      </c>
      <c r="D26" s="1">
        <v>1</v>
      </c>
      <c r="E26" s="1">
        <v>0</v>
      </c>
    </row>
    <row r="27" spans="1:5" x14ac:dyDescent="0.3">
      <c r="A27" s="1">
        <v>22</v>
      </c>
      <c r="B27" s="1">
        <v>0</v>
      </c>
      <c r="C27" s="1">
        <v>1</v>
      </c>
      <c r="D27" s="1">
        <v>1</v>
      </c>
      <c r="E27" s="1">
        <v>0</v>
      </c>
    </row>
    <row r="28" spans="1:5" x14ac:dyDescent="0.3">
      <c r="A28" s="1">
        <v>23</v>
      </c>
      <c r="B28" s="1">
        <v>0</v>
      </c>
      <c r="C28" s="1">
        <v>1</v>
      </c>
      <c r="D28" s="1">
        <v>1</v>
      </c>
      <c r="E28" s="1">
        <v>0</v>
      </c>
    </row>
    <row r="29" spans="1:5" x14ac:dyDescent="0.3">
      <c r="A29" s="1">
        <v>24</v>
      </c>
      <c r="B29" s="1">
        <v>0</v>
      </c>
      <c r="C29" s="1">
        <v>1</v>
      </c>
      <c r="D29" s="1">
        <v>1</v>
      </c>
      <c r="E29" s="1">
        <v>0</v>
      </c>
    </row>
    <row r="30" spans="1:5" x14ac:dyDescent="0.3">
      <c r="A30" s="1">
        <v>25</v>
      </c>
      <c r="B30" s="1">
        <v>0</v>
      </c>
      <c r="C30" s="1">
        <v>1</v>
      </c>
      <c r="D30" s="1">
        <v>1</v>
      </c>
      <c r="E30" s="1">
        <v>0</v>
      </c>
    </row>
    <row r="31" spans="1:5" x14ac:dyDescent="0.3">
      <c r="A31" s="1">
        <v>26</v>
      </c>
      <c r="B31" s="1">
        <v>0</v>
      </c>
      <c r="C31" s="1">
        <v>1</v>
      </c>
      <c r="D31" s="1">
        <v>0</v>
      </c>
      <c r="E31" s="1">
        <v>1</v>
      </c>
    </row>
    <row r="32" spans="1:5" x14ac:dyDescent="0.3">
      <c r="A32" s="1">
        <v>27</v>
      </c>
      <c r="B32" s="1">
        <v>0</v>
      </c>
      <c r="C32" s="1">
        <v>1</v>
      </c>
      <c r="D32" s="1">
        <v>0</v>
      </c>
      <c r="E32" s="1">
        <v>1</v>
      </c>
    </row>
    <row r="33" spans="1:5" x14ac:dyDescent="0.3">
      <c r="A33" s="1">
        <v>28</v>
      </c>
      <c r="B33" s="1">
        <v>0</v>
      </c>
      <c r="C33" s="1">
        <v>1</v>
      </c>
      <c r="D33" s="1">
        <v>0</v>
      </c>
      <c r="E33" s="1">
        <v>1</v>
      </c>
    </row>
    <row r="34" spans="1:5" x14ac:dyDescent="0.3">
      <c r="A34" s="1">
        <v>29</v>
      </c>
      <c r="B34" s="1">
        <v>0</v>
      </c>
      <c r="C34" s="1">
        <v>1</v>
      </c>
      <c r="D34" s="1">
        <v>0</v>
      </c>
      <c r="E34" s="1">
        <v>1</v>
      </c>
    </row>
    <row r="35" spans="1:5" x14ac:dyDescent="0.3">
      <c r="A35" s="1">
        <v>30</v>
      </c>
      <c r="B35" s="1">
        <v>0</v>
      </c>
      <c r="C35" s="1">
        <v>1</v>
      </c>
      <c r="D35" s="1">
        <v>0</v>
      </c>
      <c r="E35" s="1">
        <v>1</v>
      </c>
    </row>
    <row r="36" spans="1:5" x14ac:dyDescent="0.3">
      <c r="A36" s="1">
        <v>31</v>
      </c>
      <c r="B36" s="1">
        <v>0</v>
      </c>
      <c r="C36" s="1">
        <v>1</v>
      </c>
      <c r="D36" s="1">
        <v>0</v>
      </c>
      <c r="E36" s="1">
        <v>1</v>
      </c>
    </row>
    <row r="37" spans="1:5" x14ac:dyDescent="0.3">
      <c r="A37" s="1">
        <v>32</v>
      </c>
      <c r="B37" s="1">
        <v>0</v>
      </c>
      <c r="C37" s="1">
        <v>1</v>
      </c>
      <c r="D37" s="1">
        <v>0</v>
      </c>
      <c r="E37" s="1">
        <v>1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K33"/>
  <sheetViews>
    <sheetView workbookViewId="0">
      <selection activeCell="A21" sqref="A21"/>
    </sheetView>
  </sheetViews>
  <sheetFormatPr baseColWidth="10" defaultRowHeight="14.4" x14ac:dyDescent="0.3"/>
  <cols>
    <col min="1" max="1" width="11.5546875" style="5"/>
    <col min="2" max="12" width="11.5546875" style="3"/>
    <col min="13" max="13" width="8" style="3" bestFit="1" customWidth="1"/>
    <col min="14" max="14" width="10.21875" style="3" bestFit="1" customWidth="1"/>
    <col min="15" max="15" width="8.6640625" style="3" bestFit="1" customWidth="1"/>
    <col min="16" max="16" width="15.6640625" style="3" bestFit="1" customWidth="1"/>
    <col min="17" max="16384" width="11.5546875" style="3"/>
  </cols>
  <sheetData>
    <row r="1" spans="1:11" s="5" customFormat="1" x14ac:dyDescent="0.3">
      <c r="A1" s="4" t="s">
        <v>11</v>
      </c>
      <c r="B1" s="4">
        <v>1</v>
      </c>
      <c r="C1" s="4">
        <v>2</v>
      </c>
      <c r="D1" s="4">
        <v>3</v>
      </c>
      <c r="E1" s="4">
        <v>4</v>
      </c>
      <c r="F1" s="4">
        <v>5</v>
      </c>
      <c r="G1" s="4">
        <v>6</v>
      </c>
      <c r="H1" s="4">
        <v>7</v>
      </c>
      <c r="I1" s="4">
        <v>8</v>
      </c>
      <c r="J1" s="4">
        <v>9</v>
      </c>
      <c r="K1" s="4">
        <v>10</v>
      </c>
    </row>
    <row r="2" spans="1:11" x14ac:dyDescent="0.3">
      <c r="A2" s="4">
        <v>1</v>
      </c>
      <c r="B2" s="2">
        <v>1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</row>
    <row r="3" spans="1:11" x14ac:dyDescent="0.3">
      <c r="A3" s="4">
        <v>2</v>
      </c>
      <c r="B3" s="2">
        <v>0</v>
      </c>
      <c r="C3" s="2">
        <v>1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</row>
    <row r="4" spans="1:11" x14ac:dyDescent="0.3">
      <c r="A4" s="4">
        <v>3</v>
      </c>
      <c r="B4" s="2">
        <v>0</v>
      </c>
      <c r="C4" s="2">
        <v>0</v>
      </c>
      <c r="D4" s="2">
        <v>1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</row>
    <row r="5" spans="1:11" x14ac:dyDescent="0.3">
      <c r="A5" s="4">
        <v>4</v>
      </c>
      <c r="B5" s="2">
        <v>0</v>
      </c>
      <c r="C5" s="2">
        <v>0</v>
      </c>
      <c r="D5" s="2">
        <v>0</v>
      </c>
      <c r="E5" s="2">
        <v>1</v>
      </c>
      <c r="F5" s="2">
        <v>0</v>
      </c>
      <c r="G5" s="2">
        <v>0</v>
      </c>
      <c r="H5" s="2">
        <v>0</v>
      </c>
      <c r="I5" s="2">
        <v>0</v>
      </c>
      <c r="J5" s="2">
        <v>0</v>
      </c>
      <c r="K5" s="2">
        <v>0</v>
      </c>
    </row>
    <row r="6" spans="1:11" x14ac:dyDescent="0.3">
      <c r="A6" s="4">
        <v>5</v>
      </c>
      <c r="B6" s="2">
        <v>0</v>
      </c>
      <c r="C6" s="2">
        <v>0</v>
      </c>
      <c r="D6" s="2">
        <v>0</v>
      </c>
      <c r="E6" s="2">
        <v>0</v>
      </c>
      <c r="F6" s="2">
        <v>1</v>
      </c>
      <c r="G6" s="2">
        <v>0</v>
      </c>
      <c r="H6" s="2">
        <v>0</v>
      </c>
      <c r="I6" s="2">
        <v>0</v>
      </c>
      <c r="J6" s="2">
        <v>0</v>
      </c>
      <c r="K6" s="2">
        <v>0</v>
      </c>
    </row>
    <row r="7" spans="1:11" x14ac:dyDescent="0.3">
      <c r="A7" s="4">
        <v>6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1</v>
      </c>
      <c r="H7" s="2">
        <v>0</v>
      </c>
      <c r="I7" s="2">
        <v>0</v>
      </c>
      <c r="J7" s="2">
        <v>0</v>
      </c>
      <c r="K7" s="2">
        <v>0</v>
      </c>
    </row>
    <row r="8" spans="1:11" x14ac:dyDescent="0.3">
      <c r="A8" s="4">
        <v>7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1</v>
      </c>
      <c r="I8" s="2">
        <v>0</v>
      </c>
      <c r="J8" s="2">
        <v>0</v>
      </c>
      <c r="K8" s="2">
        <v>0</v>
      </c>
    </row>
    <row r="9" spans="1:11" x14ac:dyDescent="0.3">
      <c r="A9" s="4">
        <v>8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  <c r="I9" s="2">
        <v>1</v>
      </c>
      <c r="J9" s="2">
        <v>0</v>
      </c>
      <c r="K9" s="2">
        <v>0</v>
      </c>
    </row>
    <row r="10" spans="1:11" x14ac:dyDescent="0.3">
      <c r="A10" s="4">
        <v>9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  <c r="I10" s="2">
        <v>0</v>
      </c>
      <c r="J10" s="2">
        <v>1</v>
      </c>
      <c r="K10" s="2">
        <v>0</v>
      </c>
    </row>
    <row r="11" spans="1:11" x14ac:dyDescent="0.3">
      <c r="A11" s="4">
        <v>10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  <c r="I11" s="2">
        <v>0</v>
      </c>
      <c r="J11" s="2">
        <v>0</v>
      </c>
      <c r="K11" s="2">
        <v>1</v>
      </c>
    </row>
    <row r="12" spans="1:11" x14ac:dyDescent="0.3">
      <c r="A12" s="4">
        <v>11</v>
      </c>
      <c r="B12" s="2">
        <v>1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  <c r="I12" s="2">
        <v>0</v>
      </c>
      <c r="J12" s="2">
        <v>0</v>
      </c>
      <c r="K12" s="2">
        <v>0</v>
      </c>
    </row>
    <row r="13" spans="1:11" x14ac:dyDescent="0.3">
      <c r="A13" s="4">
        <v>12</v>
      </c>
      <c r="B13" s="2">
        <v>0</v>
      </c>
      <c r="C13" s="2">
        <v>1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  <c r="I13" s="2">
        <v>0</v>
      </c>
      <c r="J13" s="2">
        <v>0</v>
      </c>
      <c r="K13" s="2">
        <v>0</v>
      </c>
    </row>
    <row r="14" spans="1:11" x14ac:dyDescent="0.3">
      <c r="A14" s="4">
        <v>13</v>
      </c>
      <c r="B14" s="2">
        <v>0</v>
      </c>
      <c r="C14" s="2">
        <v>0</v>
      </c>
      <c r="D14" s="2">
        <v>1</v>
      </c>
      <c r="E14" s="2">
        <v>0</v>
      </c>
      <c r="F14" s="2">
        <v>0</v>
      </c>
      <c r="G14" s="2">
        <v>0</v>
      </c>
      <c r="H14" s="2">
        <v>0</v>
      </c>
      <c r="I14" s="2">
        <v>0</v>
      </c>
      <c r="J14" s="2">
        <v>0</v>
      </c>
      <c r="K14" s="2">
        <v>0</v>
      </c>
    </row>
    <row r="15" spans="1:11" x14ac:dyDescent="0.3">
      <c r="A15" s="4">
        <v>14</v>
      </c>
      <c r="B15" s="2">
        <v>0</v>
      </c>
      <c r="C15" s="2">
        <v>0</v>
      </c>
      <c r="D15" s="2">
        <v>0</v>
      </c>
      <c r="E15" s="2">
        <v>1</v>
      </c>
      <c r="F15" s="2">
        <v>0</v>
      </c>
      <c r="G15" s="2">
        <v>0</v>
      </c>
      <c r="H15" s="2">
        <v>0</v>
      </c>
      <c r="I15" s="2">
        <v>0</v>
      </c>
      <c r="J15" s="2">
        <v>0</v>
      </c>
      <c r="K15" s="2">
        <v>0</v>
      </c>
    </row>
    <row r="16" spans="1:11" x14ac:dyDescent="0.3">
      <c r="A16" s="4">
        <v>15</v>
      </c>
      <c r="B16" s="2">
        <v>0</v>
      </c>
      <c r="C16" s="2">
        <v>0</v>
      </c>
      <c r="D16" s="2">
        <v>0</v>
      </c>
      <c r="E16" s="2">
        <v>0</v>
      </c>
      <c r="F16" s="2">
        <v>1</v>
      </c>
      <c r="G16" s="2">
        <v>0</v>
      </c>
      <c r="H16" s="2">
        <v>0</v>
      </c>
      <c r="I16" s="2">
        <v>0</v>
      </c>
      <c r="J16" s="2">
        <v>0</v>
      </c>
      <c r="K16" s="2">
        <v>0</v>
      </c>
    </row>
    <row r="17" spans="1:11" x14ac:dyDescent="0.3">
      <c r="A17" s="4">
        <v>16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1</v>
      </c>
      <c r="H17" s="2">
        <v>0</v>
      </c>
      <c r="I17" s="2">
        <v>0</v>
      </c>
      <c r="J17" s="2">
        <v>0</v>
      </c>
      <c r="K17" s="2">
        <v>0</v>
      </c>
    </row>
    <row r="18" spans="1:11" x14ac:dyDescent="0.3">
      <c r="A18" s="4">
        <v>17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1</v>
      </c>
      <c r="I18" s="2">
        <v>0</v>
      </c>
      <c r="J18" s="2">
        <v>0</v>
      </c>
      <c r="K18" s="2">
        <v>0</v>
      </c>
    </row>
    <row r="19" spans="1:11" x14ac:dyDescent="0.3">
      <c r="A19" s="4">
        <v>18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  <c r="I19" s="2">
        <v>1</v>
      </c>
      <c r="J19" s="2">
        <v>0</v>
      </c>
      <c r="K19" s="2">
        <v>0</v>
      </c>
    </row>
    <row r="20" spans="1:11" x14ac:dyDescent="0.3">
      <c r="A20" s="4">
        <v>19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  <c r="I20" s="2">
        <v>0</v>
      </c>
      <c r="J20" s="2">
        <v>1</v>
      </c>
      <c r="K20" s="2">
        <v>0</v>
      </c>
    </row>
    <row r="21" spans="1:11" x14ac:dyDescent="0.3">
      <c r="A21" s="4">
        <v>20</v>
      </c>
      <c r="B21" s="2">
        <v>0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  <c r="I21" s="2">
        <v>0</v>
      </c>
      <c r="J21" s="2">
        <v>0</v>
      </c>
      <c r="K21" s="2">
        <v>1</v>
      </c>
    </row>
    <row r="22" spans="1:11" x14ac:dyDescent="0.3">
      <c r="A22" s="4">
        <v>21</v>
      </c>
      <c r="B22" s="2">
        <v>1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  <c r="I22" s="2">
        <v>0</v>
      </c>
      <c r="J22" s="2">
        <v>0</v>
      </c>
      <c r="K22" s="2">
        <v>0</v>
      </c>
    </row>
    <row r="23" spans="1:11" x14ac:dyDescent="0.3">
      <c r="A23" s="4">
        <v>22</v>
      </c>
      <c r="B23" s="2">
        <v>0</v>
      </c>
      <c r="C23" s="2">
        <v>0</v>
      </c>
      <c r="D23" s="2">
        <v>0</v>
      </c>
      <c r="E23" s="2">
        <v>1</v>
      </c>
      <c r="F23" s="2">
        <v>0</v>
      </c>
      <c r="G23" s="2">
        <v>0</v>
      </c>
      <c r="H23" s="2">
        <v>0</v>
      </c>
      <c r="I23" s="2">
        <v>0</v>
      </c>
      <c r="J23" s="2">
        <v>0</v>
      </c>
      <c r="K23" s="2">
        <v>0</v>
      </c>
    </row>
    <row r="24" spans="1:11" x14ac:dyDescent="0.3">
      <c r="A24" s="4">
        <v>23</v>
      </c>
      <c r="B24" s="2">
        <v>0</v>
      </c>
      <c r="C24" s="2">
        <v>0</v>
      </c>
      <c r="D24" s="2">
        <v>0</v>
      </c>
      <c r="E24" s="2">
        <v>0</v>
      </c>
      <c r="F24" s="2">
        <v>0</v>
      </c>
      <c r="G24" s="2">
        <v>1</v>
      </c>
      <c r="H24" s="2">
        <v>0</v>
      </c>
      <c r="I24" s="2">
        <v>0</v>
      </c>
      <c r="J24" s="2">
        <v>0</v>
      </c>
      <c r="K24" s="2">
        <v>0</v>
      </c>
    </row>
    <row r="25" spans="1:11" x14ac:dyDescent="0.3">
      <c r="A25" s="4">
        <v>24</v>
      </c>
      <c r="B25" s="2">
        <v>0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  <c r="I25" s="2">
        <v>1</v>
      </c>
      <c r="J25" s="2">
        <v>0</v>
      </c>
      <c r="K25" s="2">
        <v>0</v>
      </c>
    </row>
    <row r="26" spans="1:11" x14ac:dyDescent="0.3">
      <c r="A26" s="4">
        <v>25</v>
      </c>
      <c r="B26" s="2">
        <v>0</v>
      </c>
      <c r="C26" s="2">
        <v>0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2">
        <v>1</v>
      </c>
      <c r="K26" s="2">
        <v>0</v>
      </c>
    </row>
    <row r="27" spans="1:11" x14ac:dyDescent="0.3">
      <c r="A27" s="4">
        <v>26</v>
      </c>
      <c r="B27" s="2">
        <v>1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  <c r="H27" s="2">
        <v>0</v>
      </c>
      <c r="I27" s="2">
        <v>0</v>
      </c>
      <c r="J27" s="2">
        <v>0</v>
      </c>
      <c r="K27" s="2">
        <v>0</v>
      </c>
    </row>
    <row r="28" spans="1:11" x14ac:dyDescent="0.3">
      <c r="A28" s="4">
        <v>27</v>
      </c>
      <c r="B28" s="2">
        <v>0</v>
      </c>
      <c r="C28" s="2">
        <v>1</v>
      </c>
      <c r="D28" s="2">
        <v>0</v>
      </c>
      <c r="E28" s="2">
        <v>0</v>
      </c>
      <c r="F28" s="2">
        <v>0</v>
      </c>
      <c r="G28" s="2">
        <v>0</v>
      </c>
      <c r="H28" s="2">
        <v>0</v>
      </c>
      <c r="I28" s="2">
        <v>0</v>
      </c>
      <c r="J28" s="2">
        <v>0</v>
      </c>
      <c r="K28" s="2">
        <v>0</v>
      </c>
    </row>
    <row r="29" spans="1:11" x14ac:dyDescent="0.3">
      <c r="A29" s="4">
        <v>28</v>
      </c>
      <c r="B29" s="2">
        <v>0</v>
      </c>
      <c r="C29" s="2">
        <v>0</v>
      </c>
      <c r="D29" s="2">
        <v>1</v>
      </c>
      <c r="E29" s="2">
        <v>0</v>
      </c>
      <c r="F29" s="2">
        <v>0</v>
      </c>
      <c r="G29" s="2">
        <v>0</v>
      </c>
      <c r="H29" s="2">
        <v>0</v>
      </c>
      <c r="I29" s="2">
        <v>0</v>
      </c>
      <c r="J29" s="2">
        <v>0</v>
      </c>
      <c r="K29" s="2">
        <v>0</v>
      </c>
    </row>
    <row r="30" spans="1:11" x14ac:dyDescent="0.3">
      <c r="A30" s="4">
        <v>29</v>
      </c>
      <c r="B30" s="2">
        <v>0</v>
      </c>
      <c r="C30" s="2">
        <v>0</v>
      </c>
      <c r="D30" s="2">
        <v>0</v>
      </c>
      <c r="E30" s="2">
        <v>0</v>
      </c>
      <c r="F30" s="2">
        <v>0</v>
      </c>
      <c r="G30" s="2">
        <v>1</v>
      </c>
      <c r="H30" s="2">
        <v>0</v>
      </c>
      <c r="I30" s="2">
        <v>0</v>
      </c>
      <c r="J30" s="2">
        <v>0</v>
      </c>
      <c r="K30" s="2">
        <v>0</v>
      </c>
    </row>
    <row r="31" spans="1:11" x14ac:dyDescent="0.3">
      <c r="A31" s="4">
        <v>30</v>
      </c>
      <c r="B31" s="2">
        <v>0</v>
      </c>
      <c r="C31" s="2">
        <v>0</v>
      </c>
      <c r="D31" s="2">
        <v>0</v>
      </c>
      <c r="E31" s="2">
        <v>0</v>
      </c>
      <c r="F31" s="2">
        <v>0</v>
      </c>
      <c r="G31" s="2">
        <v>0</v>
      </c>
      <c r="H31" s="2">
        <v>1</v>
      </c>
      <c r="I31" s="2">
        <v>0</v>
      </c>
      <c r="J31" s="2">
        <v>0</v>
      </c>
      <c r="K31" s="2">
        <v>0</v>
      </c>
    </row>
    <row r="32" spans="1:11" x14ac:dyDescent="0.3">
      <c r="A32" s="4">
        <v>31</v>
      </c>
      <c r="B32" s="2">
        <v>0</v>
      </c>
      <c r="C32" s="2">
        <v>0</v>
      </c>
      <c r="D32" s="2">
        <v>0</v>
      </c>
      <c r="E32" s="2">
        <v>0</v>
      </c>
      <c r="F32" s="2">
        <v>0</v>
      </c>
      <c r="G32" s="2">
        <v>0</v>
      </c>
      <c r="H32" s="2">
        <v>0</v>
      </c>
      <c r="I32" s="2">
        <v>1</v>
      </c>
      <c r="J32" s="2">
        <v>0</v>
      </c>
      <c r="K32" s="2">
        <v>0</v>
      </c>
    </row>
    <row r="33" spans="1:11" x14ac:dyDescent="0.3">
      <c r="A33" s="4">
        <v>32</v>
      </c>
      <c r="B33" s="2">
        <v>0</v>
      </c>
      <c r="C33" s="2">
        <v>0</v>
      </c>
      <c r="D33" s="2">
        <v>0</v>
      </c>
      <c r="E33" s="2">
        <v>0</v>
      </c>
      <c r="F33" s="2">
        <v>0</v>
      </c>
      <c r="G33" s="2">
        <v>0</v>
      </c>
      <c r="H33" s="2">
        <v>0</v>
      </c>
      <c r="I33" s="2">
        <v>0</v>
      </c>
      <c r="J33" s="2">
        <v>0</v>
      </c>
      <c r="K33" s="2">
        <v>1</v>
      </c>
    </row>
  </sheetData>
  <conditionalFormatting sqref="B2:K33">
    <cfRule type="cellIs" dxfId="3" priority="1" operator="equal">
      <formula>1</formula>
    </cfRule>
  </conditionalFormatting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K33"/>
  <sheetViews>
    <sheetView workbookViewId="0">
      <selection activeCell="H12" sqref="H12"/>
    </sheetView>
  </sheetViews>
  <sheetFormatPr baseColWidth="10" defaultRowHeight="14.4" x14ac:dyDescent="0.3"/>
  <cols>
    <col min="1" max="1" width="11.5546875" style="5"/>
    <col min="2" max="12" width="11.5546875" style="3"/>
    <col min="13" max="13" width="8" style="3" bestFit="1" customWidth="1"/>
    <col min="14" max="14" width="10.21875" style="3" bestFit="1" customWidth="1"/>
    <col min="15" max="15" width="8.6640625" style="3" bestFit="1" customWidth="1"/>
    <col min="16" max="16" width="15.6640625" style="3" bestFit="1" customWidth="1"/>
    <col min="17" max="16384" width="11.5546875" style="3"/>
  </cols>
  <sheetData>
    <row r="1" spans="1:11" s="5" customFormat="1" x14ac:dyDescent="0.3">
      <c r="A1" s="4" t="s">
        <v>12</v>
      </c>
      <c r="B1" s="4">
        <v>1</v>
      </c>
      <c r="C1" s="4">
        <v>2</v>
      </c>
      <c r="D1" s="4">
        <v>3</v>
      </c>
      <c r="E1" s="4">
        <v>4</v>
      </c>
      <c r="F1" s="4">
        <v>5</v>
      </c>
      <c r="G1" s="4">
        <v>6</v>
      </c>
      <c r="H1" s="4">
        <v>7</v>
      </c>
      <c r="I1" s="4">
        <v>8</v>
      </c>
      <c r="J1" s="4"/>
      <c r="K1" s="4"/>
    </row>
    <row r="2" spans="1:11" x14ac:dyDescent="0.3">
      <c r="A2" s="4">
        <v>1</v>
      </c>
      <c r="B2" s="2">
        <v>1</v>
      </c>
      <c r="C2" s="2">
        <v>1</v>
      </c>
      <c r="D2" s="2">
        <v>1</v>
      </c>
      <c r="E2" s="2">
        <v>1</v>
      </c>
      <c r="F2" s="2">
        <v>0</v>
      </c>
      <c r="G2" s="2">
        <v>0</v>
      </c>
      <c r="H2" s="2">
        <v>0</v>
      </c>
      <c r="I2" s="2">
        <v>0</v>
      </c>
      <c r="J2" s="2"/>
      <c r="K2" s="2"/>
    </row>
    <row r="3" spans="1:11" x14ac:dyDescent="0.3">
      <c r="A3" s="4">
        <v>2</v>
      </c>
      <c r="B3" s="2">
        <v>1</v>
      </c>
      <c r="C3" s="2">
        <v>1</v>
      </c>
      <c r="D3" s="2">
        <v>1</v>
      </c>
      <c r="E3" s="2">
        <v>1</v>
      </c>
      <c r="F3" s="2">
        <v>0</v>
      </c>
      <c r="G3" s="2">
        <v>0</v>
      </c>
      <c r="H3" s="2">
        <v>0</v>
      </c>
      <c r="I3" s="2">
        <v>0</v>
      </c>
      <c r="J3" s="2"/>
      <c r="K3" s="2"/>
    </row>
    <row r="4" spans="1:11" x14ac:dyDescent="0.3">
      <c r="A4" s="4">
        <v>3</v>
      </c>
      <c r="B4" s="2">
        <v>1</v>
      </c>
      <c r="C4" s="2">
        <v>1</v>
      </c>
      <c r="D4" s="2">
        <v>1</v>
      </c>
      <c r="E4" s="2">
        <v>1</v>
      </c>
      <c r="F4" s="2">
        <v>0</v>
      </c>
      <c r="G4" s="2">
        <v>0</v>
      </c>
      <c r="H4" s="2">
        <v>0</v>
      </c>
      <c r="I4" s="2">
        <v>0</v>
      </c>
      <c r="J4" s="2"/>
      <c r="K4" s="2"/>
    </row>
    <row r="5" spans="1:11" x14ac:dyDescent="0.3">
      <c r="A5" s="4">
        <v>4</v>
      </c>
      <c r="B5" s="2">
        <v>1</v>
      </c>
      <c r="C5" s="2">
        <v>1</v>
      </c>
      <c r="D5" s="2">
        <v>1</v>
      </c>
      <c r="E5" s="2">
        <v>1</v>
      </c>
      <c r="F5" s="2">
        <v>0</v>
      </c>
      <c r="G5" s="2">
        <v>0</v>
      </c>
      <c r="H5" s="2">
        <v>0</v>
      </c>
      <c r="I5" s="2">
        <v>0</v>
      </c>
      <c r="J5" s="2"/>
      <c r="K5" s="2"/>
    </row>
    <row r="6" spans="1:11" x14ac:dyDescent="0.3">
      <c r="A6" s="4">
        <v>5</v>
      </c>
      <c r="B6" s="2">
        <v>1</v>
      </c>
      <c r="C6" s="2">
        <v>1</v>
      </c>
      <c r="D6" s="2">
        <v>1</v>
      </c>
      <c r="E6" s="2">
        <v>1</v>
      </c>
      <c r="F6" s="2">
        <v>0</v>
      </c>
      <c r="G6" s="2">
        <v>0</v>
      </c>
      <c r="H6" s="2">
        <v>0</v>
      </c>
      <c r="I6" s="2">
        <v>0</v>
      </c>
      <c r="J6" s="2"/>
      <c r="K6" s="2"/>
    </row>
    <row r="7" spans="1:11" x14ac:dyDescent="0.3">
      <c r="A7" s="4">
        <v>6</v>
      </c>
      <c r="B7" s="2">
        <v>1</v>
      </c>
      <c r="C7" s="2">
        <v>1</v>
      </c>
      <c r="D7" s="2">
        <v>1</v>
      </c>
      <c r="E7" s="2">
        <v>1</v>
      </c>
      <c r="F7" s="2">
        <v>0</v>
      </c>
      <c r="G7" s="2">
        <v>0</v>
      </c>
      <c r="H7" s="2">
        <v>0</v>
      </c>
      <c r="I7" s="2">
        <v>0</v>
      </c>
      <c r="J7" s="2"/>
      <c r="K7" s="2"/>
    </row>
    <row r="8" spans="1:11" x14ac:dyDescent="0.3">
      <c r="A8" s="4">
        <v>7</v>
      </c>
      <c r="B8" s="2">
        <v>1</v>
      </c>
      <c r="C8" s="2">
        <v>1</v>
      </c>
      <c r="D8" s="2">
        <v>1</v>
      </c>
      <c r="E8" s="2">
        <v>1</v>
      </c>
      <c r="F8" s="2">
        <v>0</v>
      </c>
      <c r="G8" s="2">
        <v>0</v>
      </c>
      <c r="H8" s="2">
        <v>0</v>
      </c>
      <c r="I8" s="2">
        <v>0</v>
      </c>
      <c r="J8" s="2"/>
      <c r="K8" s="2"/>
    </row>
    <row r="9" spans="1:11" x14ac:dyDescent="0.3">
      <c r="A9" s="4">
        <v>8</v>
      </c>
      <c r="B9" s="2">
        <v>1</v>
      </c>
      <c r="C9" s="2">
        <v>1</v>
      </c>
      <c r="D9" s="2">
        <v>1</v>
      </c>
      <c r="E9" s="2">
        <v>1</v>
      </c>
      <c r="F9" s="2">
        <v>0</v>
      </c>
      <c r="G9" s="2">
        <v>0</v>
      </c>
      <c r="H9" s="2">
        <v>0</v>
      </c>
      <c r="I9" s="2">
        <v>0</v>
      </c>
      <c r="J9" s="2"/>
      <c r="K9" s="2"/>
    </row>
    <row r="10" spans="1:11" x14ac:dyDescent="0.3">
      <c r="A10" s="4">
        <v>9</v>
      </c>
      <c r="B10" s="2">
        <v>1</v>
      </c>
      <c r="C10" s="2">
        <v>1</v>
      </c>
      <c r="D10" s="2">
        <v>1</v>
      </c>
      <c r="E10" s="2">
        <v>1</v>
      </c>
      <c r="F10" s="2">
        <v>0</v>
      </c>
      <c r="G10" s="2">
        <v>0</v>
      </c>
      <c r="H10" s="2">
        <v>0</v>
      </c>
      <c r="I10" s="2">
        <v>0</v>
      </c>
      <c r="J10" s="2"/>
      <c r="K10" s="2"/>
    </row>
    <row r="11" spans="1:11" x14ac:dyDescent="0.3">
      <c r="A11" s="4">
        <v>10</v>
      </c>
      <c r="B11" s="2">
        <v>1</v>
      </c>
      <c r="C11" s="2">
        <v>1</v>
      </c>
      <c r="D11" s="2">
        <v>1</v>
      </c>
      <c r="E11" s="2">
        <v>1</v>
      </c>
      <c r="F11" s="2">
        <v>0</v>
      </c>
      <c r="G11" s="2">
        <v>0</v>
      </c>
      <c r="H11" s="2">
        <v>0</v>
      </c>
      <c r="I11" s="2">
        <v>0</v>
      </c>
      <c r="J11" s="2"/>
      <c r="K11" s="2"/>
    </row>
    <row r="12" spans="1:11" x14ac:dyDescent="0.3">
      <c r="A12" s="4">
        <v>11</v>
      </c>
      <c r="B12" s="2">
        <v>0</v>
      </c>
      <c r="C12" s="2">
        <v>0</v>
      </c>
      <c r="D12" s="2">
        <v>0</v>
      </c>
      <c r="E12" s="2">
        <v>0</v>
      </c>
      <c r="F12" s="2">
        <v>1</v>
      </c>
      <c r="G12" s="2">
        <v>1</v>
      </c>
      <c r="H12" s="2">
        <v>1</v>
      </c>
      <c r="I12" s="2">
        <v>0</v>
      </c>
      <c r="J12" s="2"/>
      <c r="K12" s="2"/>
    </row>
    <row r="13" spans="1:11" x14ac:dyDescent="0.3">
      <c r="A13" s="4">
        <v>12</v>
      </c>
      <c r="B13" s="2">
        <v>0</v>
      </c>
      <c r="C13" s="2">
        <v>0</v>
      </c>
      <c r="D13" s="2">
        <v>0</v>
      </c>
      <c r="E13" s="2">
        <v>0</v>
      </c>
      <c r="F13" s="2">
        <v>1</v>
      </c>
      <c r="G13" s="2">
        <v>1</v>
      </c>
      <c r="H13" s="2">
        <v>1</v>
      </c>
      <c r="I13" s="2">
        <v>0</v>
      </c>
      <c r="J13" s="2"/>
      <c r="K13" s="2"/>
    </row>
    <row r="14" spans="1:11" x14ac:dyDescent="0.3">
      <c r="A14" s="4">
        <v>13</v>
      </c>
      <c r="B14" s="2">
        <v>0</v>
      </c>
      <c r="C14" s="2">
        <v>0</v>
      </c>
      <c r="D14" s="2">
        <v>0</v>
      </c>
      <c r="E14" s="2">
        <v>0</v>
      </c>
      <c r="F14" s="2">
        <v>1</v>
      </c>
      <c r="G14" s="2">
        <v>1</v>
      </c>
      <c r="H14" s="2">
        <v>1</v>
      </c>
      <c r="I14" s="2">
        <v>0</v>
      </c>
      <c r="J14" s="2"/>
      <c r="K14" s="2"/>
    </row>
    <row r="15" spans="1:11" x14ac:dyDescent="0.3">
      <c r="A15" s="4">
        <v>14</v>
      </c>
      <c r="B15" s="2">
        <v>0</v>
      </c>
      <c r="C15" s="2">
        <v>0</v>
      </c>
      <c r="D15" s="2">
        <v>0</v>
      </c>
      <c r="E15" s="2">
        <v>0</v>
      </c>
      <c r="F15" s="2">
        <v>1</v>
      </c>
      <c r="G15" s="2">
        <v>1</v>
      </c>
      <c r="H15" s="2">
        <v>1</v>
      </c>
      <c r="I15" s="2">
        <v>0</v>
      </c>
      <c r="J15" s="2"/>
      <c r="K15" s="2"/>
    </row>
    <row r="16" spans="1:11" x14ac:dyDescent="0.3">
      <c r="A16" s="4">
        <v>15</v>
      </c>
      <c r="B16" s="2">
        <v>0</v>
      </c>
      <c r="C16" s="2">
        <v>0</v>
      </c>
      <c r="D16" s="2">
        <v>0</v>
      </c>
      <c r="E16" s="2">
        <v>0</v>
      </c>
      <c r="F16" s="2">
        <v>1</v>
      </c>
      <c r="G16" s="2">
        <v>1</v>
      </c>
      <c r="H16" s="2">
        <v>1</v>
      </c>
      <c r="I16" s="2">
        <v>0</v>
      </c>
      <c r="J16" s="2"/>
      <c r="K16" s="2"/>
    </row>
    <row r="17" spans="1:11" x14ac:dyDescent="0.3">
      <c r="A17" s="4">
        <v>16</v>
      </c>
      <c r="B17" s="2">
        <v>0</v>
      </c>
      <c r="C17" s="2">
        <v>0</v>
      </c>
      <c r="D17" s="2">
        <v>0</v>
      </c>
      <c r="E17" s="2">
        <v>0</v>
      </c>
      <c r="F17" s="2">
        <v>1</v>
      </c>
      <c r="G17" s="2">
        <v>1</v>
      </c>
      <c r="H17" s="2">
        <v>1</v>
      </c>
      <c r="I17" s="2">
        <v>0</v>
      </c>
      <c r="J17" s="2"/>
      <c r="K17" s="2"/>
    </row>
    <row r="18" spans="1:11" x14ac:dyDescent="0.3">
      <c r="A18" s="4">
        <v>17</v>
      </c>
      <c r="B18" s="2">
        <v>0</v>
      </c>
      <c r="C18" s="2">
        <v>0</v>
      </c>
      <c r="D18" s="2">
        <v>0</v>
      </c>
      <c r="E18" s="2">
        <v>0</v>
      </c>
      <c r="F18" s="2">
        <v>1</v>
      </c>
      <c r="G18" s="2">
        <v>1</v>
      </c>
      <c r="H18" s="2">
        <v>1</v>
      </c>
      <c r="I18" s="2">
        <v>0</v>
      </c>
      <c r="J18" s="2"/>
      <c r="K18" s="2"/>
    </row>
    <row r="19" spans="1:11" x14ac:dyDescent="0.3">
      <c r="A19" s="4">
        <v>18</v>
      </c>
      <c r="B19" s="2">
        <v>0</v>
      </c>
      <c r="C19" s="2">
        <v>0</v>
      </c>
      <c r="D19" s="2">
        <v>0</v>
      </c>
      <c r="E19" s="2">
        <v>0</v>
      </c>
      <c r="F19" s="2">
        <v>1</v>
      </c>
      <c r="G19" s="2">
        <v>1</v>
      </c>
      <c r="H19" s="2">
        <v>1</v>
      </c>
      <c r="I19" s="2">
        <v>0</v>
      </c>
      <c r="J19" s="2"/>
      <c r="K19" s="2"/>
    </row>
    <row r="20" spans="1:11" x14ac:dyDescent="0.3">
      <c r="A20" s="4">
        <v>19</v>
      </c>
      <c r="B20" s="2">
        <v>0</v>
      </c>
      <c r="C20" s="2">
        <v>0</v>
      </c>
      <c r="D20" s="2">
        <v>0</v>
      </c>
      <c r="E20" s="2">
        <v>0</v>
      </c>
      <c r="F20" s="2">
        <v>1</v>
      </c>
      <c r="G20" s="2">
        <v>1</v>
      </c>
      <c r="H20" s="2">
        <v>1</v>
      </c>
      <c r="I20" s="2">
        <v>0</v>
      </c>
      <c r="J20" s="2"/>
      <c r="K20" s="2"/>
    </row>
    <row r="21" spans="1:11" x14ac:dyDescent="0.3">
      <c r="A21" s="4">
        <v>20</v>
      </c>
      <c r="B21" s="2">
        <v>0</v>
      </c>
      <c r="C21" s="2">
        <v>0</v>
      </c>
      <c r="D21" s="2">
        <v>0</v>
      </c>
      <c r="E21" s="2">
        <v>0</v>
      </c>
      <c r="F21" s="2">
        <v>1</v>
      </c>
      <c r="G21" s="2">
        <v>1</v>
      </c>
      <c r="H21" s="2">
        <v>1</v>
      </c>
      <c r="I21" s="2">
        <v>0</v>
      </c>
      <c r="J21" s="2"/>
      <c r="K21" s="2"/>
    </row>
    <row r="22" spans="1:11" x14ac:dyDescent="0.3">
      <c r="A22" s="4">
        <v>21</v>
      </c>
      <c r="B22" s="2">
        <v>0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  <c r="I22" s="2">
        <v>0</v>
      </c>
      <c r="J22" s="2"/>
      <c r="K22" s="2"/>
    </row>
    <row r="23" spans="1:11" x14ac:dyDescent="0.3">
      <c r="A23" s="4">
        <v>22</v>
      </c>
      <c r="B23" s="2">
        <v>0</v>
      </c>
      <c r="C23" s="2">
        <v>0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  <c r="I23" s="2">
        <v>0</v>
      </c>
      <c r="J23" s="2"/>
      <c r="K23" s="2"/>
    </row>
    <row r="24" spans="1:11" x14ac:dyDescent="0.3">
      <c r="A24" s="4">
        <v>23</v>
      </c>
      <c r="B24" s="2">
        <v>0</v>
      </c>
      <c r="C24" s="2">
        <v>0</v>
      </c>
      <c r="D24" s="2">
        <v>0</v>
      </c>
      <c r="E24" s="2">
        <v>0</v>
      </c>
      <c r="F24" s="2">
        <v>0</v>
      </c>
      <c r="G24" s="2">
        <v>0</v>
      </c>
      <c r="H24" s="2">
        <v>0</v>
      </c>
      <c r="I24" s="2">
        <v>0</v>
      </c>
      <c r="J24" s="2"/>
      <c r="K24" s="2"/>
    </row>
    <row r="25" spans="1:11" x14ac:dyDescent="0.3">
      <c r="A25" s="4">
        <v>24</v>
      </c>
      <c r="B25" s="2">
        <v>0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  <c r="I25" s="2">
        <v>0</v>
      </c>
      <c r="J25" s="2"/>
      <c r="K25" s="2"/>
    </row>
    <row r="26" spans="1:11" x14ac:dyDescent="0.3">
      <c r="A26" s="4">
        <v>25</v>
      </c>
      <c r="B26" s="2">
        <v>0</v>
      </c>
      <c r="C26" s="2">
        <v>0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2"/>
      <c r="K26" s="2"/>
    </row>
    <row r="27" spans="1:11" x14ac:dyDescent="0.3">
      <c r="A27" s="4">
        <v>26</v>
      </c>
      <c r="B27" s="2">
        <v>0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  <c r="H27" s="2">
        <v>0</v>
      </c>
      <c r="I27" s="2">
        <v>1</v>
      </c>
      <c r="J27" s="2"/>
      <c r="K27" s="2"/>
    </row>
    <row r="28" spans="1:11" x14ac:dyDescent="0.3">
      <c r="A28" s="4">
        <v>27</v>
      </c>
      <c r="B28" s="2">
        <v>0</v>
      </c>
      <c r="C28" s="2">
        <v>0</v>
      </c>
      <c r="D28" s="2">
        <v>0</v>
      </c>
      <c r="E28" s="2">
        <v>0</v>
      </c>
      <c r="F28" s="2">
        <v>0</v>
      </c>
      <c r="G28" s="2">
        <v>0</v>
      </c>
      <c r="H28" s="2">
        <v>0</v>
      </c>
      <c r="I28" s="2">
        <v>1</v>
      </c>
      <c r="J28" s="2"/>
      <c r="K28" s="2"/>
    </row>
    <row r="29" spans="1:11" x14ac:dyDescent="0.3">
      <c r="A29" s="4">
        <v>28</v>
      </c>
      <c r="B29" s="2">
        <v>0</v>
      </c>
      <c r="C29" s="2">
        <v>0</v>
      </c>
      <c r="D29" s="2">
        <v>0</v>
      </c>
      <c r="E29" s="2">
        <v>0</v>
      </c>
      <c r="F29" s="2">
        <v>0</v>
      </c>
      <c r="G29" s="2">
        <v>0</v>
      </c>
      <c r="H29" s="2">
        <v>0</v>
      </c>
      <c r="I29" s="2">
        <v>1</v>
      </c>
      <c r="J29" s="2"/>
      <c r="K29" s="2"/>
    </row>
    <row r="30" spans="1:11" x14ac:dyDescent="0.3">
      <c r="A30" s="4">
        <v>29</v>
      </c>
      <c r="B30" s="2">
        <v>0</v>
      </c>
      <c r="C30" s="2">
        <v>0</v>
      </c>
      <c r="D30" s="2">
        <v>0</v>
      </c>
      <c r="E30" s="2">
        <v>0</v>
      </c>
      <c r="F30" s="2">
        <v>0</v>
      </c>
      <c r="G30" s="2">
        <v>0</v>
      </c>
      <c r="H30" s="2">
        <v>0</v>
      </c>
      <c r="I30" s="2">
        <v>1</v>
      </c>
      <c r="J30" s="2"/>
      <c r="K30" s="2"/>
    </row>
    <row r="31" spans="1:11" x14ac:dyDescent="0.3">
      <c r="A31" s="4">
        <v>30</v>
      </c>
      <c r="B31" s="2">
        <v>0</v>
      </c>
      <c r="C31" s="2">
        <v>0</v>
      </c>
      <c r="D31" s="2">
        <v>0</v>
      </c>
      <c r="E31" s="2">
        <v>0</v>
      </c>
      <c r="F31" s="2">
        <v>0</v>
      </c>
      <c r="G31" s="2">
        <v>0</v>
      </c>
      <c r="H31" s="2">
        <v>0</v>
      </c>
      <c r="I31" s="2">
        <v>1</v>
      </c>
      <c r="J31" s="2"/>
      <c r="K31" s="2"/>
    </row>
    <row r="32" spans="1:11" x14ac:dyDescent="0.3">
      <c r="A32" s="4">
        <v>31</v>
      </c>
      <c r="B32" s="2">
        <v>0</v>
      </c>
      <c r="C32" s="2">
        <v>0</v>
      </c>
      <c r="D32" s="2">
        <v>0</v>
      </c>
      <c r="E32" s="2">
        <v>0</v>
      </c>
      <c r="F32" s="2">
        <v>0</v>
      </c>
      <c r="G32" s="2">
        <v>0</v>
      </c>
      <c r="H32" s="2">
        <v>0</v>
      </c>
      <c r="I32" s="2">
        <v>1</v>
      </c>
      <c r="J32" s="2"/>
      <c r="K32" s="2"/>
    </row>
    <row r="33" spans="1:11" x14ac:dyDescent="0.3">
      <c r="A33" s="4">
        <v>32</v>
      </c>
      <c r="B33" s="2">
        <v>0</v>
      </c>
      <c r="C33" s="2">
        <v>0</v>
      </c>
      <c r="D33" s="2">
        <v>0</v>
      </c>
      <c r="E33" s="2">
        <v>0</v>
      </c>
      <c r="F33" s="2">
        <v>0</v>
      </c>
      <c r="G33" s="2">
        <v>0</v>
      </c>
      <c r="H33" s="2">
        <v>0</v>
      </c>
      <c r="I33" s="2">
        <v>1</v>
      </c>
      <c r="J33" s="2"/>
      <c r="K33" s="2"/>
    </row>
  </sheetData>
  <conditionalFormatting sqref="B2:K33">
    <cfRule type="cellIs" dxfId="2" priority="1" operator="equal">
      <formula>1</formula>
    </cfRule>
  </conditionalFormatting>
  <pageMargins left="0.7" right="0.7" top="0.78740157499999996" bottom="0.78740157499999996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K33"/>
  <sheetViews>
    <sheetView workbookViewId="0">
      <selection activeCell="L13" sqref="L13"/>
    </sheetView>
  </sheetViews>
  <sheetFormatPr baseColWidth="10" defaultRowHeight="14.4" x14ac:dyDescent="0.3"/>
  <cols>
    <col min="1" max="1" width="11.5546875" style="5"/>
    <col min="2" max="12" width="11.5546875" style="3"/>
    <col min="13" max="13" width="8" style="3" bestFit="1" customWidth="1"/>
    <col min="14" max="14" width="10.21875" style="3" bestFit="1" customWidth="1"/>
    <col min="15" max="15" width="8.6640625" style="3" bestFit="1" customWidth="1"/>
    <col min="16" max="16" width="15.6640625" style="3" bestFit="1" customWidth="1"/>
    <col min="17" max="16384" width="11.5546875" style="3"/>
  </cols>
  <sheetData>
    <row r="1" spans="1:11" s="5" customFormat="1" x14ac:dyDescent="0.3">
      <c r="A1" s="4" t="s">
        <v>12</v>
      </c>
      <c r="B1" s="4">
        <v>1</v>
      </c>
      <c r="C1" s="4">
        <v>2</v>
      </c>
      <c r="D1" s="4">
        <v>3</v>
      </c>
      <c r="E1" s="4">
        <v>4</v>
      </c>
      <c r="F1" s="4">
        <v>5</v>
      </c>
      <c r="G1" s="4">
        <v>6</v>
      </c>
      <c r="H1" s="4">
        <v>7</v>
      </c>
      <c r="I1" s="4">
        <v>8</v>
      </c>
      <c r="J1" s="4"/>
      <c r="K1" s="4"/>
    </row>
    <row r="2" spans="1:11" x14ac:dyDescent="0.3">
      <c r="A2" s="4">
        <v>1</v>
      </c>
      <c r="B2" s="2">
        <v>0</v>
      </c>
      <c r="C2" s="2">
        <v>0</v>
      </c>
      <c r="D2" s="2">
        <v>0</v>
      </c>
      <c r="E2" s="2">
        <v>0</v>
      </c>
      <c r="F2" s="2">
        <v>1</v>
      </c>
      <c r="G2" s="2">
        <v>0</v>
      </c>
      <c r="H2" s="2">
        <v>0</v>
      </c>
      <c r="I2" s="2">
        <v>0</v>
      </c>
      <c r="J2" s="2"/>
      <c r="K2" s="2"/>
    </row>
    <row r="3" spans="1:11" x14ac:dyDescent="0.3">
      <c r="A3" s="4">
        <v>2</v>
      </c>
      <c r="B3" s="2">
        <v>0</v>
      </c>
      <c r="C3" s="2">
        <v>0</v>
      </c>
      <c r="D3" s="2">
        <v>0</v>
      </c>
      <c r="E3" s="2">
        <v>0</v>
      </c>
      <c r="F3" s="2">
        <v>1</v>
      </c>
      <c r="G3" s="2">
        <v>0</v>
      </c>
      <c r="H3" s="2">
        <v>0</v>
      </c>
      <c r="I3" s="2">
        <v>0</v>
      </c>
      <c r="J3" s="2"/>
      <c r="K3" s="2"/>
    </row>
    <row r="4" spans="1:11" x14ac:dyDescent="0.3">
      <c r="A4" s="4">
        <v>3</v>
      </c>
      <c r="B4" s="2">
        <v>0</v>
      </c>
      <c r="C4" s="2">
        <v>0</v>
      </c>
      <c r="D4" s="2">
        <v>0</v>
      </c>
      <c r="E4" s="2">
        <v>0</v>
      </c>
      <c r="F4" s="2">
        <v>1</v>
      </c>
      <c r="G4" s="2">
        <v>0</v>
      </c>
      <c r="H4" s="2">
        <v>0</v>
      </c>
      <c r="I4" s="2">
        <v>0</v>
      </c>
      <c r="J4" s="2"/>
      <c r="K4" s="2"/>
    </row>
    <row r="5" spans="1:11" x14ac:dyDescent="0.3">
      <c r="A5" s="4">
        <v>4</v>
      </c>
      <c r="B5" s="2">
        <v>0</v>
      </c>
      <c r="C5" s="2">
        <v>0</v>
      </c>
      <c r="D5" s="2">
        <v>0</v>
      </c>
      <c r="E5" s="2">
        <v>0</v>
      </c>
      <c r="F5" s="2">
        <v>1</v>
      </c>
      <c r="G5" s="2">
        <v>0</v>
      </c>
      <c r="H5" s="2">
        <v>0</v>
      </c>
      <c r="I5" s="2">
        <v>0</v>
      </c>
      <c r="J5" s="2"/>
      <c r="K5" s="2"/>
    </row>
    <row r="6" spans="1:11" x14ac:dyDescent="0.3">
      <c r="A6" s="4">
        <v>5</v>
      </c>
      <c r="B6" s="2">
        <v>0</v>
      </c>
      <c r="C6" s="2">
        <v>0</v>
      </c>
      <c r="D6" s="2">
        <v>0</v>
      </c>
      <c r="E6" s="2">
        <v>0</v>
      </c>
      <c r="F6" s="2">
        <v>1</v>
      </c>
      <c r="G6" s="2">
        <v>0</v>
      </c>
      <c r="H6" s="2">
        <v>0</v>
      </c>
      <c r="I6" s="2">
        <v>0</v>
      </c>
      <c r="J6" s="2"/>
      <c r="K6" s="2"/>
    </row>
    <row r="7" spans="1:11" x14ac:dyDescent="0.3">
      <c r="A7" s="4">
        <v>6</v>
      </c>
      <c r="B7" s="2">
        <v>0</v>
      </c>
      <c r="C7" s="2">
        <v>0</v>
      </c>
      <c r="D7" s="2">
        <v>0</v>
      </c>
      <c r="E7" s="2">
        <v>0</v>
      </c>
      <c r="F7" s="2">
        <v>1</v>
      </c>
      <c r="G7" s="2">
        <v>0</v>
      </c>
      <c r="H7" s="2">
        <v>0</v>
      </c>
      <c r="I7" s="2">
        <v>0</v>
      </c>
      <c r="J7" s="2"/>
      <c r="K7" s="2"/>
    </row>
    <row r="8" spans="1:11" x14ac:dyDescent="0.3">
      <c r="A8" s="4">
        <v>7</v>
      </c>
      <c r="B8" s="2">
        <v>0</v>
      </c>
      <c r="C8" s="2">
        <v>0</v>
      </c>
      <c r="D8" s="2">
        <v>0</v>
      </c>
      <c r="E8" s="2">
        <v>0</v>
      </c>
      <c r="F8" s="2">
        <v>1</v>
      </c>
      <c r="G8" s="2">
        <v>0</v>
      </c>
      <c r="H8" s="2">
        <v>0</v>
      </c>
      <c r="I8" s="2">
        <v>0</v>
      </c>
      <c r="J8" s="2"/>
      <c r="K8" s="2"/>
    </row>
    <row r="9" spans="1:11" x14ac:dyDescent="0.3">
      <c r="A9" s="4">
        <v>8</v>
      </c>
      <c r="B9" s="2">
        <v>0</v>
      </c>
      <c r="C9" s="2">
        <v>0</v>
      </c>
      <c r="D9" s="2">
        <v>0</v>
      </c>
      <c r="E9" s="2">
        <v>0</v>
      </c>
      <c r="F9" s="2">
        <v>1</v>
      </c>
      <c r="G9" s="2">
        <v>0</v>
      </c>
      <c r="H9" s="2">
        <v>0</v>
      </c>
      <c r="I9" s="2">
        <v>0</v>
      </c>
      <c r="J9" s="2"/>
      <c r="K9" s="2"/>
    </row>
    <row r="10" spans="1:11" x14ac:dyDescent="0.3">
      <c r="A10" s="4">
        <v>9</v>
      </c>
      <c r="B10" s="2">
        <v>0</v>
      </c>
      <c r="C10" s="2">
        <v>0</v>
      </c>
      <c r="D10" s="2">
        <v>0</v>
      </c>
      <c r="E10" s="2">
        <v>0</v>
      </c>
      <c r="F10" s="2">
        <v>1</v>
      </c>
      <c r="G10" s="2">
        <v>0</v>
      </c>
      <c r="H10" s="2">
        <v>0</v>
      </c>
      <c r="I10" s="2">
        <v>0</v>
      </c>
      <c r="J10" s="2"/>
      <c r="K10" s="2"/>
    </row>
    <row r="11" spans="1:11" x14ac:dyDescent="0.3">
      <c r="A11" s="4">
        <v>10</v>
      </c>
      <c r="B11" s="2">
        <v>0</v>
      </c>
      <c r="C11" s="2">
        <v>0</v>
      </c>
      <c r="D11" s="2">
        <v>0</v>
      </c>
      <c r="E11" s="2">
        <v>0</v>
      </c>
      <c r="F11" s="2">
        <v>1</v>
      </c>
      <c r="G11" s="2">
        <v>0</v>
      </c>
      <c r="H11" s="2">
        <v>0</v>
      </c>
      <c r="I11" s="2">
        <v>0</v>
      </c>
      <c r="J11" s="2"/>
      <c r="K11" s="2"/>
    </row>
    <row r="12" spans="1:11" x14ac:dyDescent="0.3">
      <c r="A12" s="4">
        <v>11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  <c r="I12" s="2">
        <v>1</v>
      </c>
      <c r="J12" s="2"/>
      <c r="K12" s="2"/>
    </row>
    <row r="13" spans="1:11" x14ac:dyDescent="0.3">
      <c r="A13" s="4">
        <v>12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  <c r="I13" s="2">
        <v>1</v>
      </c>
      <c r="J13" s="2"/>
      <c r="K13" s="2"/>
    </row>
    <row r="14" spans="1:11" x14ac:dyDescent="0.3">
      <c r="A14" s="4">
        <v>13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  <c r="I14" s="2">
        <v>1</v>
      </c>
      <c r="J14" s="2"/>
      <c r="K14" s="2"/>
    </row>
    <row r="15" spans="1:11" x14ac:dyDescent="0.3">
      <c r="A15" s="4">
        <v>14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  <c r="I15" s="2">
        <v>1</v>
      </c>
      <c r="J15" s="2"/>
      <c r="K15" s="2"/>
    </row>
    <row r="16" spans="1:11" x14ac:dyDescent="0.3">
      <c r="A16" s="4">
        <v>15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  <c r="I16" s="2">
        <v>1</v>
      </c>
      <c r="J16" s="2"/>
      <c r="K16" s="2"/>
    </row>
    <row r="17" spans="1:11" x14ac:dyDescent="0.3">
      <c r="A17" s="4">
        <v>16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  <c r="I17" s="2">
        <v>1</v>
      </c>
      <c r="J17" s="2"/>
      <c r="K17" s="2"/>
    </row>
    <row r="18" spans="1:11" x14ac:dyDescent="0.3">
      <c r="A18" s="4">
        <v>17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  <c r="I18" s="2">
        <v>1</v>
      </c>
      <c r="J18" s="2"/>
      <c r="K18" s="2"/>
    </row>
    <row r="19" spans="1:11" x14ac:dyDescent="0.3">
      <c r="A19" s="4">
        <v>18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  <c r="I19" s="2">
        <v>1</v>
      </c>
      <c r="J19" s="2"/>
      <c r="K19" s="2"/>
    </row>
    <row r="20" spans="1:11" x14ac:dyDescent="0.3">
      <c r="A20" s="4">
        <v>19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  <c r="I20" s="2">
        <v>1</v>
      </c>
      <c r="J20" s="2"/>
      <c r="K20" s="2"/>
    </row>
    <row r="21" spans="1:11" x14ac:dyDescent="0.3">
      <c r="A21" s="4">
        <v>20</v>
      </c>
      <c r="B21" s="2">
        <v>0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  <c r="I21" s="2">
        <v>1</v>
      </c>
      <c r="J21" s="2"/>
      <c r="K21" s="2"/>
    </row>
    <row r="22" spans="1:11" x14ac:dyDescent="0.3">
      <c r="A22" s="4">
        <v>21</v>
      </c>
      <c r="B22" s="2">
        <v>1</v>
      </c>
      <c r="C22" s="2">
        <v>1</v>
      </c>
      <c r="D22" s="2">
        <v>1</v>
      </c>
      <c r="E22" s="2">
        <v>1</v>
      </c>
      <c r="F22" s="2">
        <v>0</v>
      </c>
      <c r="G22" s="2">
        <v>0</v>
      </c>
      <c r="H22" s="2">
        <v>0</v>
      </c>
      <c r="I22" s="2">
        <v>0</v>
      </c>
      <c r="J22" s="2"/>
      <c r="K22" s="2"/>
    </row>
    <row r="23" spans="1:11" x14ac:dyDescent="0.3">
      <c r="A23" s="4">
        <v>22</v>
      </c>
      <c r="B23" s="2">
        <v>1</v>
      </c>
      <c r="C23" s="2">
        <v>1</v>
      </c>
      <c r="D23" s="2">
        <v>1</v>
      </c>
      <c r="E23" s="2">
        <v>1</v>
      </c>
      <c r="F23" s="2">
        <v>0</v>
      </c>
      <c r="G23" s="2">
        <v>0</v>
      </c>
      <c r="H23" s="2">
        <v>0</v>
      </c>
      <c r="I23" s="2">
        <v>0</v>
      </c>
      <c r="J23" s="2"/>
      <c r="K23" s="2"/>
    </row>
    <row r="24" spans="1:11" x14ac:dyDescent="0.3">
      <c r="A24" s="4">
        <v>23</v>
      </c>
      <c r="B24" s="2">
        <v>1</v>
      </c>
      <c r="C24" s="2">
        <v>1</v>
      </c>
      <c r="D24" s="2">
        <v>1</v>
      </c>
      <c r="E24" s="2">
        <v>1</v>
      </c>
      <c r="F24" s="2">
        <v>0</v>
      </c>
      <c r="G24" s="2">
        <v>0</v>
      </c>
      <c r="H24" s="2">
        <v>0</v>
      </c>
      <c r="I24" s="2">
        <v>0</v>
      </c>
      <c r="J24" s="2"/>
      <c r="K24" s="2"/>
    </row>
    <row r="25" spans="1:11" x14ac:dyDescent="0.3">
      <c r="A25" s="4">
        <v>24</v>
      </c>
      <c r="B25" s="2">
        <v>1</v>
      </c>
      <c r="C25" s="2">
        <v>1</v>
      </c>
      <c r="D25" s="2">
        <v>1</v>
      </c>
      <c r="E25" s="2">
        <v>1</v>
      </c>
      <c r="F25" s="2">
        <v>0</v>
      </c>
      <c r="G25" s="2">
        <v>0</v>
      </c>
      <c r="H25" s="2">
        <v>0</v>
      </c>
      <c r="I25" s="2">
        <v>0</v>
      </c>
      <c r="J25" s="2"/>
      <c r="K25" s="2"/>
    </row>
    <row r="26" spans="1:11" x14ac:dyDescent="0.3">
      <c r="A26" s="4">
        <v>25</v>
      </c>
      <c r="B26" s="2">
        <v>1</v>
      </c>
      <c r="C26" s="2">
        <v>1</v>
      </c>
      <c r="D26" s="2">
        <v>1</v>
      </c>
      <c r="E26" s="2">
        <v>1</v>
      </c>
      <c r="F26" s="2">
        <v>0</v>
      </c>
      <c r="G26" s="2">
        <v>0</v>
      </c>
      <c r="H26" s="2">
        <v>0</v>
      </c>
      <c r="I26" s="2">
        <v>0</v>
      </c>
      <c r="J26" s="2"/>
      <c r="K26" s="2"/>
    </row>
    <row r="27" spans="1:11" x14ac:dyDescent="0.3">
      <c r="A27" s="4">
        <v>26</v>
      </c>
      <c r="B27" s="2">
        <v>0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  <c r="H27" s="2">
        <v>0</v>
      </c>
      <c r="I27" s="2">
        <v>0</v>
      </c>
      <c r="J27" s="2"/>
      <c r="K27" s="2"/>
    </row>
    <row r="28" spans="1:11" x14ac:dyDescent="0.3">
      <c r="A28" s="4">
        <v>27</v>
      </c>
      <c r="B28" s="2">
        <v>0</v>
      </c>
      <c r="C28" s="2">
        <v>0</v>
      </c>
      <c r="D28" s="2">
        <v>0</v>
      </c>
      <c r="E28" s="2">
        <v>0</v>
      </c>
      <c r="F28" s="2">
        <v>0</v>
      </c>
      <c r="G28" s="2">
        <v>0</v>
      </c>
      <c r="H28" s="2">
        <v>0</v>
      </c>
      <c r="I28" s="2">
        <v>0</v>
      </c>
      <c r="J28" s="2"/>
      <c r="K28" s="2"/>
    </row>
    <row r="29" spans="1:11" x14ac:dyDescent="0.3">
      <c r="A29" s="4">
        <v>28</v>
      </c>
      <c r="B29" s="2">
        <v>0</v>
      </c>
      <c r="C29" s="2">
        <v>0</v>
      </c>
      <c r="D29" s="2">
        <v>0</v>
      </c>
      <c r="E29" s="2">
        <v>0</v>
      </c>
      <c r="F29" s="2">
        <v>0</v>
      </c>
      <c r="G29" s="2">
        <v>0</v>
      </c>
      <c r="H29" s="2">
        <v>0</v>
      </c>
      <c r="I29" s="2">
        <v>0</v>
      </c>
      <c r="J29" s="2"/>
      <c r="K29" s="2"/>
    </row>
    <row r="30" spans="1:11" x14ac:dyDescent="0.3">
      <c r="A30" s="4">
        <v>29</v>
      </c>
      <c r="B30" s="2">
        <v>0</v>
      </c>
      <c r="C30" s="2">
        <v>0</v>
      </c>
      <c r="D30" s="2">
        <v>0</v>
      </c>
      <c r="E30" s="2">
        <v>0</v>
      </c>
      <c r="F30" s="2">
        <v>0</v>
      </c>
      <c r="G30" s="2">
        <v>0</v>
      </c>
      <c r="H30" s="2">
        <v>0</v>
      </c>
      <c r="I30" s="2">
        <v>0</v>
      </c>
      <c r="J30" s="2"/>
      <c r="K30" s="2"/>
    </row>
    <row r="31" spans="1:11" x14ac:dyDescent="0.3">
      <c r="A31" s="4">
        <v>30</v>
      </c>
      <c r="B31" s="2">
        <v>0</v>
      </c>
      <c r="C31" s="2">
        <v>0</v>
      </c>
      <c r="D31" s="2">
        <v>0</v>
      </c>
      <c r="E31" s="2">
        <v>0</v>
      </c>
      <c r="F31" s="2">
        <v>0</v>
      </c>
      <c r="G31" s="2">
        <v>0</v>
      </c>
      <c r="H31" s="2">
        <v>0</v>
      </c>
      <c r="I31" s="2">
        <v>0</v>
      </c>
      <c r="J31" s="2"/>
      <c r="K31" s="2"/>
    </row>
    <row r="32" spans="1:11" x14ac:dyDescent="0.3">
      <c r="A32" s="4">
        <v>31</v>
      </c>
      <c r="B32" s="2">
        <v>0</v>
      </c>
      <c r="C32" s="2">
        <v>0</v>
      </c>
      <c r="D32" s="2">
        <v>0</v>
      </c>
      <c r="E32" s="2">
        <v>0</v>
      </c>
      <c r="F32" s="2">
        <v>0</v>
      </c>
      <c r="G32" s="2">
        <v>0</v>
      </c>
      <c r="H32" s="2">
        <v>0</v>
      </c>
      <c r="I32" s="2">
        <v>0</v>
      </c>
      <c r="J32" s="2"/>
      <c r="K32" s="2"/>
    </row>
    <row r="33" spans="1:11" x14ac:dyDescent="0.3">
      <c r="A33" s="4">
        <v>32</v>
      </c>
      <c r="B33" s="2">
        <v>0</v>
      </c>
      <c r="C33" s="2">
        <v>0</v>
      </c>
      <c r="D33" s="2">
        <v>0</v>
      </c>
      <c r="E33" s="2">
        <v>0</v>
      </c>
      <c r="F33" s="2">
        <v>0</v>
      </c>
      <c r="G33" s="2">
        <v>0</v>
      </c>
      <c r="H33" s="2">
        <v>0</v>
      </c>
      <c r="I33" s="2">
        <v>0</v>
      </c>
      <c r="J33" s="2"/>
      <c r="K33" s="2"/>
    </row>
  </sheetData>
  <conditionalFormatting sqref="B2:K33">
    <cfRule type="cellIs" dxfId="1" priority="1" operator="equal">
      <formula>1</formula>
    </cfRule>
  </conditionalFormatting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/>
  </sheetPr>
  <dimension ref="A1:D4"/>
  <sheetViews>
    <sheetView workbookViewId="0">
      <selection activeCell="B5" sqref="B5"/>
    </sheetView>
  </sheetViews>
  <sheetFormatPr baseColWidth="10" defaultRowHeight="14.4" x14ac:dyDescent="0.3"/>
  <cols>
    <col min="1" max="1" width="39.109375" bestFit="1" customWidth="1"/>
    <col min="2" max="2" width="16.44140625" bestFit="1" customWidth="1"/>
  </cols>
  <sheetData>
    <row r="1" spans="1:4" x14ac:dyDescent="0.3">
      <c r="A1" t="s">
        <v>0</v>
      </c>
      <c r="B1">
        <v>300</v>
      </c>
      <c r="C1" t="s">
        <v>15</v>
      </c>
      <c r="D1" s="17" t="s">
        <v>31</v>
      </c>
    </row>
    <row r="2" spans="1:4" x14ac:dyDescent="0.3">
      <c r="A2" t="s">
        <v>13</v>
      </c>
      <c r="B2">
        <v>15</v>
      </c>
      <c r="C2" t="s">
        <v>14</v>
      </c>
    </row>
    <row r="3" spans="1:4" x14ac:dyDescent="0.3">
      <c r="A3" t="s">
        <v>18</v>
      </c>
      <c r="B3" s="18">
        <v>300000000</v>
      </c>
      <c r="C3" t="s">
        <v>20</v>
      </c>
    </row>
    <row r="4" spans="1:4" x14ac:dyDescent="0.3">
      <c r="A4" t="s">
        <v>19</v>
      </c>
      <c r="B4" s="18">
        <v>50000000</v>
      </c>
      <c r="C4" t="s">
        <v>20</v>
      </c>
    </row>
  </sheetData>
  <pageMargins left="0.7" right="0.7" top="0.78740157499999996" bottom="0.78740157499999996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B11"/>
  <sheetViews>
    <sheetView workbookViewId="0">
      <selection activeCell="C4" sqref="C4"/>
    </sheetView>
  </sheetViews>
  <sheetFormatPr baseColWidth="10" defaultRowHeight="14.4" x14ac:dyDescent="0.3"/>
  <cols>
    <col min="2" max="2" width="15.6640625" bestFit="1" customWidth="1"/>
  </cols>
  <sheetData>
    <row r="1" spans="1:2" x14ac:dyDescent="0.3">
      <c r="A1" t="s">
        <v>1</v>
      </c>
      <c r="B1" t="s">
        <v>3</v>
      </c>
    </row>
    <row r="2" spans="1:2" x14ac:dyDescent="0.3">
      <c r="A2">
        <v>1</v>
      </c>
      <c r="B2">
        <v>0.27</v>
      </c>
    </row>
    <row r="3" spans="1:2" x14ac:dyDescent="0.3">
      <c r="A3">
        <v>2</v>
      </c>
      <c r="B3">
        <v>0.42</v>
      </c>
    </row>
    <row r="4" spans="1:2" x14ac:dyDescent="0.3">
      <c r="A4">
        <v>3</v>
      </c>
      <c r="B4">
        <v>0.15</v>
      </c>
    </row>
    <row r="5" spans="1:2" x14ac:dyDescent="0.3">
      <c r="A5">
        <v>4</v>
      </c>
      <c r="B5">
        <v>0.28000000000000003</v>
      </c>
    </row>
    <row r="6" spans="1:2" x14ac:dyDescent="0.3">
      <c r="A6">
        <v>5</v>
      </c>
      <c r="B6">
        <v>0.41</v>
      </c>
    </row>
    <row r="7" spans="1:2" x14ac:dyDescent="0.3">
      <c r="A7">
        <v>6</v>
      </c>
      <c r="B7">
        <v>0.35</v>
      </c>
    </row>
    <row r="8" spans="1:2" x14ac:dyDescent="0.3">
      <c r="A8">
        <v>7</v>
      </c>
      <c r="B8">
        <v>0.27</v>
      </c>
    </row>
    <row r="9" spans="1:2" x14ac:dyDescent="0.3">
      <c r="A9">
        <v>8</v>
      </c>
      <c r="B9">
        <v>0.34</v>
      </c>
    </row>
    <row r="10" spans="1:2" x14ac:dyDescent="0.3">
      <c r="A10">
        <v>9</v>
      </c>
      <c r="B10">
        <v>0.21</v>
      </c>
    </row>
    <row r="11" spans="1:2" x14ac:dyDescent="0.3">
      <c r="A11">
        <v>10</v>
      </c>
      <c r="B11">
        <v>0.16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K33"/>
  <sheetViews>
    <sheetView workbookViewId="0">
      <selection activeCell="H10" sqref="H10"/>
    </sheetView>
  </sheetViews>
  <sheetFormatPr baseColWidth="10" defaultRowHeight="14.4" x14ac:dyDescent="0.3"/>
  <cols>
    <col min="1" max="1" width="11.5546875" style="5"/>
    <col min="2" max="12" width="11.5546875" style="3"/>
    <col min="13" max="13" width="8" style="3" bestFit="1" customWidth="1"/>
    <col min="14" max="14" width="10.21875" style="3" bestFit="1" customWidth="1"/>
    <col min="15" max="15" width="8.6640625" style="3" bestFit="1" customWidth="1"/>
    <col min="16" max="16" width="15.6640625" style="3" bestFit="1" customWidth="1"/>
    <col min="17" max="16384" width="11.5546875" style="3"/>
  </cols>
  <sheetData>
    <row r="1" spans="1:11" s="5" customFormat="1" x14ac:dyDescent="0.3">
      <c r="A1" s="4" t="s">
        <v>12</v>
      </c>
      <c r="B1" s="4">
        <v>1</v>
      </c>
      <c r="C1" s="4">
        <v>2</v>
      </c>
      <c r="D1" s="4">
        <v>3</v>
      </c>
      <c r="E1" s="4">
        <v>4</v>
      </c>
      <c r="F1" s="4">
        <v>5</v>
      </c>
      <c r="G1" s="4">
        <v>6</v>
      </c>
      <c r="H1" s="4">
        <v>7</v>
      </c>
      <c r="I1" s="4">
        <v>8</v>
      </c>
      <c r="J1" s="4"/>
      <c r="K1" s="4"/>
    </row>
    <row r="2" spans="1:11" x14ac:dyDescent="0.3">
      <c r="A2" s="4">
        <v>1</v>
      </c>
      <c r="B2" s="2">
        <v>0.1</v>
      </c>
      <c r="C2" s="2">
        <v>0.5</v>
      </c>
      <c r="D2" s="2">
        <v>0.3</v>
      </c>
      <c r="E2" s="2">
        <v>0.1</v>
      </c>
      <c r="F2" s="2">
        <v>1</v>
      </c>
      <c r="G2" s="2">
        <v>0</v>
      </c>
      <c r="H2" s="2">
        <v>0</v>
      </c>
      <c r="I2" s="2">
        <v>0</v>
      </c>
      <c r="J2" s="2"/>
      <c r="K2" s="2"/>
    </row>
    <row r="3" spans="1:11" x14ac:dyDescent="0.3">
      <c r="A3" s="4">
        <v>2</v>
      </c>
      <c r="B3" s="2">
        <v>0.1</v>
      </c>
      <c r="C3" s="2">
        <v>0.5</v>
      </c>
      <c r="D3" s="2">
        <v>0.3</v>
      </c>
      <c r="E3" s="2">
        <v>0.1</v>
      </c>
      <c r="F3" s="2">
        <v>1</v>
      </c>
      <c r="G3" s="2">
        <v>0</v>
      </c>
      <c r="H3" s="2">
        <v>0</v>
      </c>
      <c r="I3" s="2">
        <v>0</v>
      </c>
      <c r="J3" s="2"/>
      <c r="K3" s="2"/>
    </row>
    <row r="4" spans="1:11" x14ac:dyDescent="0.3">
      <c r="A4" s="4">
        <v>3</v>
      </c>
      <c r="B4" s="2">
        <v>0.1</v>
      </c>
      <c r="C4" s="2">
        <v>0.5</v>
      </c>
      <c r="D4" s="2">
        <v>0.3</v>
      </c>
      <c r="E4" s="2">
        <v>0.1</v>
      </c>
      <c r="F4" s="2">
        <v>1</v>
      </c>
      <c r="G4" s="2">
        <v>0</v>
      </c>
      <c r="H4" s="2">
        <v>0</v>
      </c>
      <c r="I4" s="2">
        <v>0</v>
      </c>
      <c r="J4" s="2"/>
      <c r="K4" s="2"/>
    </row>
    <row r="5" spans="1:11" x14ac:dyDescent="0.3">
      <c r="A5" s="4">
        <v>4</v>
      </c>
      <c r="B5" s="2">
        <v>0.1</v>
      </c>
      <c r="C5" s="2">
        <v>0.5</v>
      </c>
      <c r="D5" s="2">
        <v>0.3</v>
      </c>
      <c r="E5" s="2">
        <v>0.1</v>
      </c>
      <c r="F5" s="2">
        <v>1</v>
      </c>
      <c r="G5" s="2">
        <v>0</v>
      </c>
      <c r="H5" s="2">
        <v>0</v>
      </c>
      <c r="I5" s="2">
        <v>0</v>
      </c>
      <c r="J5" s="2"/>
      <c r="K5" s="2"/>
    </row>
    <row r="6" spans="1:11" x14ac:dyDescent="0.3">
      <c r="A6" s="4">
        <v>5</v>
      </c>
      <c r="B6" s="2">
        <v>0.1</v>
      </c>
      <c r="C6" s="2">
        <v>0.5</v>
      </c>
      <c r="D6" s="2">
        <v>0.3</v>
      </c>
      <c r="E6" s="2">
        <v>0.1</v>
      </c>
      <c r="F6" s="2">
        <v>1</v>
      </c>
      <c r="G6" s="2">
        <v>0</v>
      </c>
      <c r="H6" s="2">
        <v>0</v>
      </c>
      <c r="I6" s="2">
        <v>0</v>
      </c>
      <c r="J6" s="2"/>
      <c r="K6" s="2"/>
    </row>
    <row r="7" spans="1:11" x14ac:dyDescent="0.3">
      <c r="A7" s="4">
        <v>6</v>
      </c>
      <c r="B7" s="2">
        <v>0.1</v>
      </c>
      <c r="C7" s="2">
        <v>0.5</v>
      </c>
      <c r="D7" s="2">
        <v>0.3</v>
      </c>
      <c r="E7" s="2">
        <v>0.1</v>
      </c>
      <c r="F7" s="2">
        <v>1</v>
      </c>
      <c r="G7" s="2">
        <v>0</v>
      </c>
      <c r="H7" s="2">
        <v>0</v>
      </c>
      <c r="I7" s="2">
        <v>0</v>
      </c>
      <c r="J7" s="2"/>
      <c r="K7" s="2"/>
    </row>
    <row r="8" spans="1:11" x14ac:dyDescent="0.3">
      <c r="A8" s="4">
        <v>7</v>
      </c>
      <c r="B8" s="2">
        <v>0.1</v>
      </c>
      <c r="C8" s="2">
        <v>0.5</v>
      </c>
      <c r="D8" s="2">
        <v>0.3</v>
      </c>
      <c r="E8" s="2">
        <v>0.1</v>
      </c>
      <c r="F8" s="2">
        <v>1</v>
      </c>
      <c r="G8" s="2">
        <v>0</v>
      </c>
      <c r="H8" s="2">
        <v>0</v>
      </c>
      <c r="I8" s="2">
        <v>0</v>
      </c>
      <c r="J8" s="2"/>
      <c r="K8" s="2"/>
    </row>
    <row r="9" spans="1:11" x14ac:dyDescent="0.3">
      <c r="A9" s="4">
        <v>8</v>
      </c>
      <c r="B9" s="2">
        <v>0.1</v>
      </c>
      <c r="C9" s="2">
        <v>0.5</v>
      </c>
      <c r="D9" s="2">
        <v>0.3</v>
      </c>
      <c r="E9" s="2">
        <v>0.1</v>
      </c>
      <c r="F9" s="2">
        <v>1</v>
      </c>
      <c r="G9" s="2">
        <v>0</v>
      </c>
      <c r="H9" s="2">
        <v>0</v>
      </c>
      <c r="I9" s="2">
        <v>0</v>
      </c>
      <c r="J9" s="2"/>
      <c r="K9" s="2"/>
    </row>
    <row r="10" spans="1:11" x14ac:dyDescent="0.3">
      <c r="A10" s="4">
        <v>9</v>
      </c>
      <c r="B10" s="2">
        <v>0.1</v>
      </c>
      <c r="C10" s="2">
        <v>0.5</v>
      </c>
      <c r="D10" s="2">
        <v>0.3</v>
      </c>
      <c r="E10" s="2">
        <v>0.1</v>
      </c>
      <c r="F10" s="2">
        <v>1</v>
      </c>
      <c r="G10" s="2">
        <v>0</v>
      </c>
      <c r="H10" s="2">
        <v>0</v>
      </c>
      <c r="I10" s="2">
        <v>0</v>
      </c>
      <c r="J10" s="2"/>
      <c r="K10" s="2"/>
    </row>
    <row r="11" spans="1:11" x14ac:dyDescent="0.3">
      <c r="A11" s="4">
        <v>10</v>
      </c>
      <c r="B11" s="2">
        <v>0.1</v>
      </c>
      <c r="C11" s="2">
        <v>0.5</v>
      </c>
      <c r="D11" s="2">
        <v>0.3</v>
      </c>
      <c r="E11" s="2">
        <v>0.1</v>
      </c>
      <c r="F11" s="2">
        <v>1</v>
      </c>
      <c r="G11" s="2">
        <v>0</v>
      </c>
      <c r="H11" s="2">
        <v>0</v>
      </c>
      <c r="I11" s="2">
        <v>0</v>
      </c>
      <c r="J11" s="2"/>
      <c r="K11" s="2"/>
    </row>
    <row r="12" spans="1:11" x14ac:dyDescent="0.3">
      <c r="A12" s="4">
        <v>11</v>
      </c>
      <c r="B12" s="2">
        <v>0</v>
      </c>
      <c r="C12" s="2">
        <v>0</v>
      </c>
      <c r="D12" s="2">
        <v>0</v>
      </c>
      <c r="E12" s="2">
        <v>0</v>
      </c>
      <c r="F12" s="2">
        <v>0.6</v>
      </c>
      <c r="G12" s="2">
        <v>0.3</v>
      </c>
      <c r="H12" s="2">
        <v>0.1</v>
      </c>
      <c r="I12" s="2">
        <v>1</v>
      </c>
      <c r="J12" s="2"/>
      <c r="K12" s="2"/>
    </row>
    <row r="13" spans="1:11" x14ac:dyDescent="0.3">
      <c r="A13" s="4">
        <v>12</v>
      </c>
      <c r="B13" s="2">
        <v>0</v>
      </c>
      <c r="C13" s="2">
        <v>0</v>
      </c>
      <c r="D13" s="2">
        <v>0</v>
      </c>
      <c r="E13" s="2">
        <v>0</v>
      </c>
      <c r="F13" s="2">
        <v>0.6</v>
      </c>
      <c r="G13" s="2">
        <v>0.3</v>
      </c>
      <c r="H13" s="2">
        <v>0.1</v>
      </c>
      <c r="I13" s="2">
        <v>1</v>
      </c>
      <c r="J13" s="2"/>
      <c r="K13" s="2"/>
    </row>
    <row r="14" spans="1:11" x14ac:dyDescent="0.3">
      <c r="A14" s="4">
        <v>13</v>
      </c>
      <c r="B14" s="2">
        <v>0</v>
      </c>
      <c r="C14" s="2">
        <v>0</v>
      </c>
      <c r="D14" s="2">
        <v>0</v>
      </c>
      <c r="E14" s="2">
        <v>0</v>
      </c>
      <c r="F14" s="2">
        <v>0.6</v>
      </c>
      <c r="G14" s="2">
        <v>0.3</v>
      </c>
      <c r="H14" s="2">
        <v>0.1</v>
      </c>
      <c r="I14" s="2">
        <v>1</v>
      </c>
      <c r="J14" s="2"/>
      <c r="K14" s="2"/>
    </row>
    <row r="15" spans="1:11" x14ac:dyDescent="0.3">
      <c r="A15" s="4">
        <v>14</v>
      </c>
      <c r="B15" s="2">
        <v>0</v>
      </c>
      <c r="C15" s="2">
        <v>0</v>
      </c>
      <c r="D15" s="2">
        <v>0</v>
      </c>
      <c r="E15" s="2">
        <v>0</v>
      </c>
      <c r="F15" s="2">
        <v>0.6</v>
      </c>
      <c r="G15" s="2">
        <v>0.3</v>
      </c>
      <c r="H15" s="2">
        <v>0.1</v>
      </c>
      <c r="I15" s="2">
        <v>1</v>
      </c>
      <c r="J15" s="2"/>
      <c r="K15" s="2"/>
    </row>
    <row r="16" spans="1:11" x14ac:dyDescent="0.3">
      <c r="A16" s="4">
        <v>15</v>
      </c>
      <c r="B16" s="2">
        <v>0</v>
      </c>
      <c r="C16" s="2">
        <v>0</v>
      </c>
      <c r="D16" s="2">
        <v>0</v>
      </c>
      <c r="E16" s="2">
        <v>0</v>
      </c>
      <c r="F16" s="2">
        <v>0.6</v>
      </c>
      <c r="G16" s="2">
        <v>0.3</v>
      </c>
      <c r="H16" s="2">
        <v>0.1</v>
      </c>
      <c r="I16" s="2">
        <v>1</v>
      </c>
      <c r="J16" s="2"/>
      <c r="K16" s="2"/>
    </row>
    <row r="17" spans="1:11" x14ac:dyDescent="0.3">
      <c r="A17" s="4">
        <v>16</v>
      </c>
      <c r="B17" s="2">
        <v>0</v>
      </c>
      <c r="C17" s="2">
        <v>0</v>
      </c>
      <c r="D17" s="2">
        <v>0</v>
      </c>
      <c r="E17" s="2">
        <v>0</v>
      </c>
      <c r="F17" s="2">
        <v>0.6</v>
      </c>
      <c r="G17" s="2">
        <v>0.3</v>
      </c>
      <c r="H17" s="2">
        <v>0.1</v>
      </c>
      <c r="I17" s="2">
        <v>1</v>
      </c>
      <c r="J17" s="2"/>
      <c r="K17" s="2"/>
    </row>
    <row r="18" spans="1:11" x14ac:dyDescent="0.3">
      <c r="A18" s="4">
        <v>17</v>
      </c>
      <c r="B18" s="2">
        <v>0</v>
      </c>
      <c r="C18" s="2">
        <v>0</v>
      </c>
      <c r="D18" s="2">
        <v>0</v>
      </c>
      <c r="E18" s="2">
        <v>0</v>
      </c>
      <c r="F18" s="2">
        <v>0.6</v>
      </c>
      <c r="G18" s="2">
        <v>0.3</v>
      </c>
      <c r="H18" s="2">
        <v>0.1</v>
      </c>
      <c r="I18" s="2">
        <v>1</v>
      </c>
      <c r="J18" s="2"/>
      <c r="K18" s="2"/>
    </row>
    <row r="19" spans="1:11" x14ac:dyDescent="0.3">
      <c r="A19" s="4">
        <v>18</v>
      </c>
      <c r="B19" s="2">
        <v>0</v>
      </c>
      <c r="C19" s="2">
        <v>0</v>
      </c>
      <c r="D19" s="2">
        <v>0</v>
      </c>
      <c r="E19" s="2">
        <v>0</v>
      </c>
      <c r="F19" s="2">
        <v>0.6</v>
      </c>
      <c r="G19" s="2">
        <v>0.3</v>
      </c>
      <c r="H19" s="2">
        <v>0.1</v>
      </c>
      <c r="I19" s="2">
        <v>1</v>
      </c>
      <c r="J19" s="2"/>
      <c r="K19" s="2"/>
    </row>
    <row r="20" spans="1:11" x14ac:dyDescent="0.3">
      <c r="A20" s="4">
        <v>19</v>
      </c>
      <c r="B20" s="2">
        <v>0</v>
      </c>
      <c r="C20" s="2">
        <v>0</v>
      </c>
      <c r="D20" s="2">
        <v>0</v>
      </c>
      <c r="E20" s="2">
        <v>0</v>
      </c>
      <c r="F20" s="2">
        <v>0.6</v>
      </c>
      <c r="G20" s="2">
        <v>0.3</v>
      </c>
      <c r="H20" s="2">
        <v>0.1</v>
      </c>
      <c r="I20" s="2">
        <v>1</v>
      </c>
      <c r="J20" s="2"/>
      <c r="K20" s="2"/>
    </row>
    <row r="21" spans="1:11" x14ac:dyDescent="0.3">
      <c r="A21" s="4">
        <v>20</v>
      </c>
      <c r="B21" s="2">
        <v>0</v>
      </c>
      <c r="C21" s="2">
        <v>0</v>
      </c>
      <c r="D21" s="2">
        <v>0</v>
      </c>
      <c r="E21" s="2">
        <v>0</v>
      </c>
      <c r="F21" s="2">
        <v>0.6</v>
      </c>
      <c r="G21" s="2">
        <v>0.3</v>
      </c>
      <c r="H21" s="2">
        <v>0.1</v>
      </c>
      <c r="I21" s="2">
        <v>1</v>
      </c>
      <c r="J21" s="2"/>
      <c r="K21" s="2"/>
    </row>
    <row r="22" spans="1:11" x14ac:dyDescent="0.3">
      <c r="A22" s="4">
        <v>21</v>
      </c>
      <c r="B22" s="2">
        <v>0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  <c r="I22" s="2">
        <v>0</v>
      </c>
      <c r="J22" s="2"/>
      <c r="K22" s="2"/>
    </row>
    <row r="23" spans="1:11" x14ac:dyDescent="0.3">
      <c r="A23" s="4">
        <v>22</v>
      </c>
      <c r="B23" s="2">
        <v>0</v>
      </c>
      <c r="C23" s="2">
        <v>0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  <c r="I23" s="2">
        <v>0</v>
      </c>
      <c r="J23" s="2"/>
      <c r="K23" s="2"/>
    </row>
    <row r="24" spans="1:11" x14ac:dyDescent="0.3">
      <c r="A24" s="4">
        <v>23</v>
      </c>
      <c r="B24" s="2">
        <v>0</v>
      </c>
      <c r="C24" s="2">
        <v>0</v>
      </c>
      <c r="D24" s="2">
        <v>0</v>
      </c>
      <c r="E24" s="2">
        <v>0</v>
      </c>
      <c r="F24" s="2">
        <v>0</v>
      </c>
      <c r="G24" s="2">
        <v>0</v>
      </c>
      <c r="H24" s="2">
        <v>0</v>
      </c>
      <c r="I24" s="2">
        <v>0</v>
      </c>
      <c r="J24" s="2"/>
      <c r="K24" s="2"/>
    </row>
    <row r="25" spans="1:11" x14ac:dyDescent="0.3">
      <c r="A25" s="4">
        <v>24</v>
      </c>
      <c r="B25" s="2">
        <v>0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  <c r="I25" s="2">
        <v>0</v>
      </c>
      <c r="J25" s="2"/>
      <c r="K25" s="2"/>
    </row>
    <row r="26" spans="1:11" x14ac:dyDescent="0.3">
      <c r="A26" s="4">
        <v>25</v>
      </c>
      <c r="B26" s="2">
        <v>0</v>
      </c>
      <c r="C26" s="2">
        <v>0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2"/>
      <c r="K26" s="2"/>
    </row>
    <row r="27" spans="1:11" x14ac:dyDescent="0.3">
      <c r="A27" s="4">
        <v>26</v>
      </c>
      <c r="B27" s="2">
        <v>0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  <c r="H27" s="2">
        <v>0</v>
      </c>
      <c r="I27" s="2">
        <v>0</v>
      </c>
      <c r="J27" s="2"/>
      <c r="K27" s="2"/>
    </row>
    <row r="28" spans="1:11" x14ac:dyDescent="0.3">
      <c r="A28" s="4">
        <v>27</v>
      </c>
      <c r="B28" s="2">
        <v>0</v>
      </c>
      <c r="C28" s="2">
        <v>0</v>
      </c>
      <c r="D28" s="2">
        <v>0</v>
      </c>
      <c r="E28" s="2">
        <v>0</v>
      </c>
      <c r="F28" s="2">
        <v>0</v>
      </c>
      <c r="G28" s="2">
        <v>0</v>
      </c>
      <c r="H28" s="2">
        <v>0</v>
      </c>
      <c r="I28" s="2">
        <v>0</v>
      </c>
      <c r="J28" s="2"/>
      <c r="K28" s="2"/>
    </row>
    <row r="29" spans="1:11" x14ac:dyDescent="0.3">
      <c r="A29" s="4">
        <v>28</v>
      </c>
      <c r="B29" s="2">
        <v>0</v>
      </c>
      <c r="C29" s="2">
        <v>0</v>
      </c>
      <c r="D29" s="2">
        <v>0</v>
      </c>
      <c r="E29" s="2">
        <v>0</v>
      </c>
      <c r="F29" s="2">
        <v>0</v>
      </c>
      <c r="G29" s="2">
        <v>0</v>
      </c>
      <c r="H29" s="2">
        <v>0</v>
      </c>
      <c r="I29" s="2">
        <v>0</v>
      </c>
      <c r="J29" s="2"/>
      <c r="K29" s="2"/>
    </row>
    <row r="30" spans="1:11" x14ac:dyDescent="0.3">
      <c r="A30" s="4">
        <v>29</v>
      </c>
      <c r="B30" s="2">
        <v>0</v>
      </c>
      <c r="C30" s="2">
        <v>0</v>
      </c>
      <c r="D30" s="2">
        <v>0</v>
      </c>
      <c r="E30" s="2">
        <v>0</v>
      </c>
      <c r="F30" s="2">
        <v>0</v>
      </c>
      <c r="G30" s="2">
        <v>0</v>
      </c>
      <c r="H30" s="2">
        <v>0</v>
      </c>
      <c r="I30" s="2">
        <v>0</v>
      </c>
      <c r="J30" s="2"/>
      <c r="K30" s="2"/>
    </row>
    <row r="31" spans="1:11" x14ac:dyDescent="0.3">
      <c r="A31" s="4">
        <v>30</v>
      </c>
      <c r="B31" s="2">
        <v>0</v>
      </c>
      <c r="C31" s="2">
        <v>0</v>
      </c>
      <c r="D31" s="2">
        <v>0</v>
      </c>
      <c r="E31" s="2">
        <v>0</v>
      </c>
      <c r="F31" s="2">
        <v>0</v>
      </c>
      <c r="G31" s="2">
        <v>0</v>
      </c>
      <c r="H31" s="2">
        <v>0</v>
      </c>
      <c r="I31" s="2">
        <v>0</v>
      </c>
      <c r="J31" s="2"/>
      <c r="K31" s="2"/>
    </row>
    <row r="32" spans="1:11" x14ac:dyDescent="0.3">
      <c r="A32" s="4">
        <v>31</v>
      </c>
      <c r="B32" s="2">
        <v>0</v>
      </c>
      <c r="C32" s="2">
        <v>0</v>
      </c>
      <c r="D32" s="2">
        <v>0</v>
      </c>
      <c r="E32" s="2">
        <v>0</v>
      </c>
      <c r="F32" s="2">
        <v>0</v>
      </c>
      <c r="G32" s="2">
        <v>0</v>
      </c>
      <c r="H32" s="2">
        <v>0</v>
      </c>
      <c r="I32" s="2">
        <v>0</v>
      </c>
      <c r="J32" s="2"/>
      <c r="K32" s="2"/>
    </row>
    <row r="33" spans="1:11" x14ac:dyDescent="0.3">
      <c r="A33" s="4">
        <v>32</v>
      </c>
      <c r="B33" s="2">
        <v>0</v>
      </c>
      <c r="C33" s="2">
        <v>0</v>
      </c>
      <c r="D33" s="2">
        <v>0</v>
      </c>
      <c r="E33" s="2">
        <v>0</v>
      </c>
      <c r="F33" s="2">
        <v>0</v>
      </c>
      <c r="G33" s="2">
        <v>0</v>
      </c>
      <c r="H33" s="2">
        <v>0</v>
      </c>
      <c r="I33" s="2">
        <v>0</v>
      </c>
      <c r="J33" s="2"/>
      <c r="K33" s="2"/>
    </row>
  </sheetData>
  <conditionalFormatting sqref="B2:K33">
    <cfRule type="cellIs" dxfId="0" priority="1" operator="greaterThan">
      <formula>0</formula>
    </cfRule>
  </conditionalFormatting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E21"/>
  <sheetViews>
    <sheetView workbookViewId="0">
      <selection activeCell="G19" sqref="G19"/>
    </sheetView>
  </sheetViews>
  <sheetFormatPr baseColWidth="10" defaultRowHeight="14.4" x14ac:dyDescent="0.3"/>
  <cols>
    <col min="1" max="1" width="11.5546875" style="4"/>
    <col min="2" max="2" width="21.77734375" style="2" bestFit="1" customWidth="1"/>
    <col min="3" max="3" width="26" style="2" bestFit="1" customWidth="1"/>
    <col min="4" max="4" width="26.88671875" style="2" bestFit="1" customWidth="1"/>
    <col min="5" max="6" width="11.5546875" style="2"/>
    <col min="7" max="7" width="8" style="2" bestFit="1" customWidth="1"/>
    <col min="8" max="8" width="10.21875" style="2" bestFit="1" customWidth="1"/>
    <col min="9" max="9" width="8.6640625" style="2" bestFit="1" customWidth="1"/>
    <col min="10" max="10" width="15.6640625" style="2" bestFit="1" customWidth="1"/>
    <col min="11" max="11" width="11.5546875" style="2"/>
    <col min="12" max="12" width="14.88671875" style="2" bestFit="1" customWidth="1"/>
    <col min="13" max="13" width="15.44140625" style="2" bestFit="1" customWidth="1"/>
    <col min="14" max="14" width="20.77734375" style="2" bestFit="1" customWidth="1"/>
    <col min="15" max="15" width="11.5546875" style="2"/>
    <col min="16" max="16" width="13.44140625" style="2" bestFit="1" customWidth="1"/>
    <col min="17" max="16384" width="11.5546875" style="2"/>
  </cols>
  <sheetData>
    <row r="1" spans="1:5" s="4" customFormat="1" x14ac:dyDescent="0.3">
      <c r="A1" s="4" t="s">
        <v>6</v>
      </c>
      <c r="B1" s="4" t="s">
        <v>21</v>
      </c>
      <c r="C1" s="4" t="s">
        <v>22</v>
      </c>
      <c r="D1" s="4" t="s">
        <v>23</v>
      </c>
      <c r="E1" s="4" t="s">
        <v>24</v>
      </c>
    </row>
    <row r="2" spans="1:5" x14ac:dyDescent="0.3">
      <c r="A2" s="4">
        <v>1</v>
      </c>
      <c r="B2" s="2">
        <v>250</v>
      </c>
      <c r="C2" s="2">
        <v>60</v>
      </c>
      <c r="D2" s="2">
        <v>50</v>
      </c>
      <c r="E2" s="2">
        <v>1120</v>
      </c>
    </row>
    <row r="3" spans="1:5" x14ac:dyDescent="0.3">
      <c r="A3" s="4">
        <v>2</v>
      </c>
      <c r="B3" s="2">
        <v>300</v>
      </c>
      <c r="C3" s="2">
        <v>60</v>
      </c>
      <c r="D3" s="2">
        <v>50</v>
      </c>
      <c r="E3" s="2">
        <v>1120</v>
      </c>
    </row>
    <row r="4" spans="1:5" x14ac:dyDescent="0.3">
      <c r="A4" s="4">
        <v>3</v>
      </c>
      <c r="B4" s="2">
        <v>280</v>
      </c>
      <c r="C4" s="2">
        <v>60</v>
      </c>
      <c r="D4" s="2">
        <v>50</v>
      </c>
      <c r="E4" s="2">
        <v>1120</v>
      </c>
    </row>
    <row r="5" spans="1:5" x14ac:dyDescent="0.3">
      <c r="A5" s="4">
        <v>4</v>
      </c>
      <c r="B5" s="2">
        <v>320</v>
      </c>
      <c r="C5" s="2">
        <v>60</v>
      </c>
      <c r="D5" s="2">
        <v>50</v>
      </c>
      <c r="E5" s="2">
        <v>1120</v>
      </c>
    </row>
    <row r="6" spans="1:5" x14ac:dyDescent="0.3">
      <c r="A6" s="4">
        <v>5</v>
      </c>
      <c r="B6" s="2">
        <v>250</v>
      </c>
      <c r="C6" s="2">
        <v>60</v>
      </c>
      <c r="D6" s="2">
        <v>50</v>
      </c>
      <c r="E6" s="2">
        <v>1120</v>
      </c>
    </row>
    <row r="7" spans="1:5" x14ac:dyDescent="0.3">
      <c r="A7" s="4">
        <v>6</v>
      </c>
      <c r="B7" s="2">
        <v>250</v>
      </c>
      <c r="C7" s="2">
        <v>60</v>
      </c>
      <c r="D7" s="2">
        <v>50</v>
      </c>
      <c r="E7" s="2">
        <v>1120</v>
      </c>
    </row>
    <row r="8" spans="1:5" x14ac:dyDescent="0.3">
      <c r="A8" s="4">
        <v>7</v>
      </c>
      <c r="B8" s="2">
        <v>300</v>
      </c>
      <c r="C8" s="2">
        <v>60</v>
      </c>
      <c r="D8" s="2">
        <v>50</v>
      </c>
      <c r="E8" s="2">
        <v>1120</v>
      </c>
    </row>
    <row r="9" spans="1:5" x14ac:dyDescent="0.3">
      <c r="A9" s="4">
        <v>8</v>
      </c>
      <c r="B9" s="2">
        <v>270</v>
      </c>
      <c r="C9" s="2">
        <v>60</v>
      </c>
      <c r="D9" s="2">
        <v>50</v>
      </c>
      <c r="E9" s="2">
        <v>1120</v>
      </c>
    </row>
    <row r="10" spans="1:5" x14ac:dyDescent="0.3">
      <c r="A10" s="4">
        <v>9</v>
      </c>
      <c r="B10" s="2">
        <v>350</v>
      </c>
      <c r="C10" s="2">
        <v>60</v>
      </c>
      <c r="D10" s="2">
        <v>50</v>
      </c>
      <c r="E10" s="2">
        <v>1120</v>
      </c>
    </row>
    <row r="11" spans="1:5" x14ac:dyDescent="0.3">
      <c r="A11" s="4">
        <v>10</v>
      </c>
      <c r="B11" s="2">
        <v>300</v>
      </c>
      <c r="C11" s="2">
        <v>60</v>
      </c>
      <c r="D11" s="2">
        <v>50</v>
      </c>
      <c r="E11" s="2">
        <v>1120</v>
      </c>
    </row>
    <row r="12" spans="1:5" x14ac:dyDescent="0.3">
      <c r="A12" s="4">
        <v>11</v>
      </c>
      <c r="B12" s="2">
        <v>80</v>
      </c>
      <c r="C12" s="2">
        <v>20</v>
      </c>
      <c r="D12" s="2">
        <v>10</v>
      </c>
      <c r="E12" s="2">
        <v>930</v>
      </c>
    </row>
    <row r="13" spans="1:5" x14ac:dyDescent="0.3">
      <c r="A13" s="4">
        <v>12</v>
      </c>
      <c r="B13" s="2">
        <v>90</v>
      </c>
      <c r="C13" s="2">
        <v>20</v>
      </c>
      <c r="D13" s="2">
        <v>10</v>
      </c>
      <c r="E13" s="2">
        <v>930</v>
      </c>
    </row>
    <row r="14" spans="1:5" x14ac:dyDescent="0.3">
      <c r="A14" s="4">
        <v>13</v>
      </c>
      <c r="B14" s="2">
        <v>70</v>
      </c>
      <c r="C14" s="2">
        <v>20</v>
      </c>
      <c r="D14" s="2">
        <v>10</v>
      </c>
      <c r="E14" s="2">
        <v>930</v>
      </c>
    </row>
    <row r="15" spans="1:5" x14ac:dyDescent="0.3">
      <c r="A15" s="4">
        <v>14</v>
      </c>
      <c r="B15" s="2">
        <v>90</v>
      </c>
      <c r="C15" s="2">
        <v>20</v>
      </c>
      <c r="D15" s="2">
        <v>10</v>
      </c>
      <c r="E15" s="2">
        <v>930</v>
      </c>
    </row>
    <row r="16" spans="1:5" x14ac:dyDescent="0.3">
      <c r="A16" s="4">
        <v>15</v>
      </c>
      <c r="B16" s="2">
        <v>60</v>
      </c>
      <c r="C16" s="2">
        <v>20</v>
      </c>
      <c r="D16" s="2">
        <v>10</v>
      </c>
      <c r="E16" s="2">
        <v>930</v>
      </c>
    </row>
    <row r="17" spans="1:5" x14ac:dyDescent="0.3">
      <c r="A17" s="4">
        <v>16</v>
      </c>
      <c r="B17" s="2">
        <v>40</v>
      </c>
      <c r="C17" s="2">
        <v>20</v>
      </c>
      <c r="D17" s="2">
        <v>10</v>
      </c>
      <c r="E17" s="2">
        <v>930</v>
      </c>
    </row>
    <row r="18" spans="1:5" x14ac:dyDescent="0.3">
      <c r="A18" s="4">
        <v>17</v>
      </c>
      <c r="B18" s="2">
        <v>50</v>
      </c>
      <c r="C18" s="2">
        <v>20</v>
      </c>
      <c r="D18" s="2">
        <v>10</v>
      </c>
      <c r="E18" s="2">
        <v>930</v>
      </c>
    </row>
    <row r="19" spans="1:5" x14ac:dyDescent="0.3">
      <c r="A19" s="4">
        <v>18</v>
      </c>
      <c r="B19" s="2">
        <v>70</v>
      </c>
      <c r="C19" s="2">
        <v>20</v>
      </c>
      <c r="D19" s="2">
        <v>10</v>
      </c>
      <c r="E19" s="2">
        <v>930</v>
      </c>
    </row>
    <row r="20" spans="1:5" x14ac:dyDescent="0.3">
      <c r="A20" s="4">
        <v>19</v>
      </c>
      <c r="B20" s="2">
        <v>80</v>
      </c>
      <c r="C20" s="2">
        <v>20</v>
      </c>
      <c r="D20" s="2">
        <v>10</v>
      </c>
      <c r="E20" s="2">
        <v>930</v>
      </c>
    </row>
    <row r="21" spans="1:5" x14ac:dyDescent="0.3">
      <c r="A21" s="4">
        <v>20</v>
      </c>
      <c r="B21" s="2">
        <v>40</v>
      </c>
      <c r="C21" s="2">
        <v>20</v>
      </c>
      <c r="D21" s="2">
        <v>10</v>
      </c>
      <c r="E21" s="2">
        <v>930</v>
      </c>
    </row>
  </sheetData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E9"/>
  <sheetViews>
    <sheetView workbookViewId="0">
      <selection activeCell="D24" sqref="D24"/>
    </sheetView>
  </sheetViews>
  <sheetFormatPr baseColWidth="10" defaultRowHeight="14.4" x14ac:dyDescent="0.3"/>
  <cols>
    <col min="1" max="1" width="11.5546875" style="10"/>
    <col min="2" max="2" width="14.33203125" style="10" bestFit="1" customWidth="1"/>
    <col min="3" max="3" width="21" style="10" bestFit="1" customWidth="1"/>
    <col min="4" max="4" width="25.21875" style="10" bestFit="1" customWidth="1"/>
    <col min="5" max="5" width="23.77734375" style="10" bestFit="1" customWidth="1"/>
    <col min="6" max="16384" width="11.5546875" style="10"/>
  </cols>
  <sheetData>
    <row r="1" spans="1:5" s="8" customFormat="1" x14ac:dyDescent="0.3">
      <c r="A1" s="6" t="s">
        <v>4</v>
      </c>
      <c r="B1" s="6"/>
      <c r="C1" s="6">
        <v>250</v>
      </c>
      <c r="D1" s="6">
        <f>SUM(D3:D9)</f>
        <v>118.75</v>
      </c>
      <c r="E1" s="6"/>
    </row>
    <row r="2" spans="1:5" s="9" customFormat="1" x14ac:dyDescent="0.3">
      <c r="A2" s="7" t="s">
        <v>2</v>
      </c>
      <c r="B2" s="7" t="s">
        <v>27</v>
      </c>
      <c r="C2" s="7" t="s">
        <v>25</v>
      </c>
      <c r="D2" s="7" t="s">
        <v>26</v>
      </c>
      <c r="E2" s="7" t="s">
        <v>16</v>
      </c>
    </row>
    <row r="3" spans="1:5" x14ac:dyDescent="0.3">
      <c r="A3" s="7">
        <v>1</v>
      </c>
      <c r="B3" s="10">
        <v>0.25</v>
      </c>
      <c r="C3" s="10">
        <f>B3*$C$1</f>
        <v>62.5</v>
      </c>
      <c r="D3" s="11">
        <f>C3*E3</f>
        <v>43.75</v>
      </c>
      <c r="E3" s="10">
        <v>0.7</v>
      </c>
    </row>
    <row r="4" spans="1:5" x14ac:dyDescent="0.3">
      <c r="A4" s="7">
        <v>2</v>
      </c>
      <c r="B4" s="10">
        <v>0.2</v>
      </c>
      <c r="C4" s="10">
        <f t="shared" ref="C4:C9" si="0">B4*$C$1</f>
        <v>50</v>
      </c>
      <c r="D4" s="11">
        <f t="shared" ref="D4:D9" si="1">C4*E4</f>
        <v>15</v>
      </c>
      <c r="E4" s="10">
        <v>0.3</v>
      </c>
    </row>
    <row r="5" spans="1:5" x14ac:dyDescent="0.3">
      <c r="A5" s="7">
        <v>3</v>
      </c>
      <c r="B5" s="10">
        <v>0.05</v>
      </c>
      <c r="C5" s="10">
        <f t="shared" si="0"/>
        <v>12.5</v>
      </c>
      <c r="D5" s="11">
        <f t="shared" si="1"/>
        <v>5</v>
      </c>
      <c r="E5" s="10">
        <v>0.4</v>
      </c>
    </row>
    <row r="6" spans="1:5" x14ac:dyDescent="0.3">
      <c r="A6" s="7">
        <v>4</v>
      </c>
      <c r="B6" s="10">
        <v>0.15</v>
      </c>
      <c r="C6" s="10">
        <f t="shared" si="0"/>
        <v>37.5</v>
      </c>
      <c r="D6" s="11">
        <f t="shared" si="1"/>
        <v>18.75</v>
      </c>
      <c r="E6" s="10">
        <v>0.5</v>
      </c>
    </row>
    <row r="7" spans="1:5" x14ac:dyDescent="0.3">
      <c r="A7" s="7">
        <v>5</v>
      </c>
      <c r="B7" s="10">
        <v>0.1</v>
      </c>
      <c r="C7" s="10">
        <f t="shared" si="0"/>
        <v>25</v>
      </c>
      <c r="D7" s="11">
        <f t="shared" si="1"/>
        <v>10</v>
      </c>
      <c r="E7" s="10">
        <v>0.4</v>
      </c>
    </row>
    <row r="8" spans="1:5" x14ac:dyDescent="0.3">
      <c r="A8" s="7">
        <v>6</v>
      </c>
      <c r="B8" s="10">
        <v>0.1</v>
      </c>
      <c r="C8" s="10">
        <f t="shared" si="0"/>
        <v>25</v>
      </c>
      <c r="D8" s="11">
        <f t="shared" si="1"/>
        <v>15</v>
      </c>
      <c r="E8" s="10">
        <v>0.6</v>
      </c>
    </row>
    <row r="9" spans="1:5" x14ac:dyDescent="0.3">
      <c r="A9" s="7">
        <v>7</v>
      </c>
      <c r="B9" s="10">
        <v>0.15</v>
      </c>
      <c r="C9" s="10">
        <f t="shared" si="0"/>
        <v>37.5</v>
      </c>
      <c r="D9" s="11">
        <f t="shared" si="1"/>
        <v>11.25</v>
      </c>
      <c r="E9" s="10">
        <v>0.3</v>
      </c>
    </row>
  </sheetData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F7"/>
  <sheetViews>
    <sheetView workbookViewId="0">
      <selection activeCell="C12" sqref="C12"/>
    </sheetView>
  </sheetViews>
  <sheetFormatPr baseColWidth="10" defaultRowHeight="14.4" x14ac:dyDescent="0.3"/>
  <cols>
    <col min="1" max="1" width="12.5546875" bestFit="1" customWidth="1"/>
  </cols>
  <sheetData>
    <row r="1" spans="1:6" x14ac:dyDescent="0.3">
      <c r="A1" s="14" t="s">
        <v>28</v>
      </c>
      <c r="B1" s="14">
        <v>21</v>
      </c>
      <c r="C1" s="14">
        <v>22</v>
      </c>
      <c r="D1" s="14">
        <v>23</v>
      </c>
      <c r="E1" s="14">
        <v>24</v>
      </c>
      <c r="F1" s="14">
        <v>25</v>
      </c>
    </row>
    <row r="2" spans="1:6" x14ac:dyDescent="0.3">
      <c r="A2" s="14">
        <v>1</v>
      </c>
      <c r="B2" s="2">
        <v>200</v>
      </c>
      <c r="C2" s="2">
        <v>110</v>
      </c>
      <c r="D2" s="2">
        <v>80</v>
      </c>
      <c r="E2" s="2">
        <v>60</v>
      </c>
      <c r="F2" s="2">
        <v>170</v>
      </c>
    </row>
    <row r="3" spans="1:6" x14ac:dyDescent="0.3">
      <c r="A3" s="14">
        <v>2</v>
      </c>
      <c r="B3" s="2">
        <v>150</v>
      </c>
      <c r="C3" s="2">
        <v>100</v>
      </c>
      <c r="D3" s="2">
        <v>120</v>
      </c>
      <c r="E3" s="2">
        <v>80</v>
      </c>
      <c r="F3" s="2">
        <v>150</v>
      </c>
    </row>
    <row r="4" spans="1:6" x14ac:dyDescent="0.3">
      <c r="A4" s="14">
        <v>3</v>
      </c>
      <c r="B4" s="2">
        <v>100</v>
      </c>
      <c r="C4" s="2">
        <v>140</v>
      </c>
      <c r="D4" s="2">
        <v>140</v>
      </c>
      <c r="E4" s="2">
        <v>190</v>
      </c>
      <c r="F4" s="2">
        <v>130</v>
      </c>
    </row>
    <row r="5" spans="1:6" x14ac:dyDescent="0.3">
      <c r="A5" s="14">
        <v>4</v>
      </c>
      <c r="B5" s="2">
        <v>180</v>
      </c>
      <c r="C5" s="2">
        <v>160</v>
      </c>
      <c r="D5" s="2">
        <v>70</v>
      </c>
      <c r="E5" s="2">
        <v>140</v>
      </c>
      <c r="F5" s="2">
        <v>110</v>
      </c>
    </row>
    <row r="6" spans="1:6" x14ac:dyDescent="0.3">
      <c r="A6" s="14">
        <v>6</v>
      </c>
      <c r="B6" s="2">
        <v>70</v>
      </c>
      <c r="C6" s="2">
        <v>170</v>
      </c>
      <c r="D6" s="2">
        <v>150</v>
      </c>
      <c r="E6" s="2">
        <v>110</v>
      </c>
      <c r="F6" s="2">
        <v>80</v>
      </c>
    </row>
    <row r="7" spans="1:6" x14ac:dyDescent="0.3">
      <c r="A7" s="14">
        <v>7</v>
      </c>
      <c r="B7" s="2">
        <v>150</v>
      </c>
      <c r="C7" s="2">
        <v>60</v>
      </c>
      <c r="D7" s="2">
        <v>140</v>
      </c>
      <c r="E7" s="2">
        <v>100</v>
      </c>
      <c r="F7" s="2">
        <v>150</v>
      </c>
    </row>
  </sheetData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H33"/>
  <sheetViews>
    <sheetView workbookViewId="0">
      <selection activeCell="H27" sqref="H27"/>
    </sheetView>
  </sheetViews>
  <sheetFormatPr baseColWidth="10" defaultRowHeight="14.4" x14ac:dyDescent="0.3"/>
  <cols>
    <col min="1" max="1" width="10.77734375" style="4" customWidth="1"/>
    <col min="2" max="14" width="10.77734375" style="2" customWidth="1"/>
    <col min="15" max="15" width="20.77734375" style="2" bestFit="1" customWidth="1"/>
    <col min="16" max="16" width="11.5546875" style="2"/>
    <col min="17" max="17" width="13.44140625" style="2" bestFit="1" customWidth="1"/>
    <col min="18" max="16384" width="11.5546875" style="2"/>
  </cols>
  <sheetData>
    <row r="1" spans="1:8" s="4" customFormat="1" x14ac:dyDescent="0.3">
      <c r="A1" s="4" t="s">
        <v>29</v>
      </c>
      <c r="B1" s="4">
        <v>1</v>
      </c>
      <c r="C1" s="4">
        <v>2</v>
      </c>
      <c r="D1" s="4">
        <v>3</v>
      </c>
      <c r="E1" s="4">
        <v>4</v>
      </c>
      <c r="F1" s="4">
        <v>5</v>
      </c>
      <c r="G1" s="4">
        <v>6</v>
      </c>
      <c r="H1" s="4">
        <v>7</v>
      </c>
    </row>
    <row r="2" spans="1:8" x14ac:dyDescent="0.3">
      <c r="A2" s="4">
        <v>1</v>
      </c>
      <c r="F2" s="2">
        <v>440</v>
      </c>
    </row>
    <row r="3" spans="1:8" x14ac:dyDescent="0.3">
      <c r="A3" s="4">
        <v>2</v>
      </c>
      <c r="F3" s="2">
        <v>440</v>
      </c>
    </row>
    <row r="4" spans="1:8" x14ac:dyDescent="0.3">
      <c r="A4" s="4">
        <v>3</v>
      </c>
      <c r="F4" s="2">
        <v>440</v>
      </c>
    </row>
    <row r="5" spans="1:8" x14ac:dyDescent="0.3">
      <c r="A5" s="4">
        <v>4</v>
      </c>
      <c r="F5" s="2">
        <v>440</v>
      </c>
    </row>
    <row r="6" spans="1:8" x14ac:dyDescent="0.3">
      <c r="A6" s="4">
        <v>5</v>
      </c>
      <c r="F6" s="2">
        <v>440</v>
      </c>
    </row>
    <row r="7" spans="1:8" x14ac:dyDescent="0.3">
      <c r="A7" s="4">
        <v>6</v>
      </c>
      <c r="F7" s="2">
        <v>440</v>
      </c>
    </row>
    <row r="8" spans="1:8" x14ac:dyDescent="0.3">
      <c r="A8" s="4">
        <v>7</v>
      </c>
      <c r="F8" s="2">
        <v>440</v>
      </c>
    </row>
    <row r="9" spans="1:8" x14ac:dyDescent="0.3">
      <c r="A9" s="4">
        <v>8</v>
      </c>
      <c r="F9" s="2">
        <v>440</v>
      </c>
    </row>
    <row r="10" spans="1:8" x14ac:dyDescent="0.3">
      <c r="A10" s="4">
        <v>9</v>
      </c>
      <c r="F10" s="2">
        <v>440</v>
      </c>
    </row>
    <row r="11" spans="1:8" x14ac:dyDescent="0.3">
      <c r="A11" s="4">
        <v>10</v>
      </c>
      <c r="F11" s="2">
        <v>440</v>
      </c>
    </row>
    <row r="12" spans="1:8" x14ac:dyDescent="0.3">
      <c r="A12" s="4">
        <v>11</v>
      </c>
    </row>
    <row r="13" spans="1:8" x14ac:dyDescent="0.3">
      <c r="A13" s="4">
        <v>12</v>
      </c>
    </row>
    <row r="14" spans="1:8" x14ac:dyDescent="0.3">
      <c r="A14" s="4">
        <v>13</v>
      </c>
    </row>
    <row r="15" spans="1:8" x14ac:dyDescent="0.3">
      <c r="A15" s="4">
        <v>14</v>
      </c>
    </row>
    <row r="16" spans="1:8" x14ac:dyDescent="0.3">
      <c r="A16" s="4">
        <v>15</v>
      </c>
    </row>
    <row r="17" spans="1:8" x14ac:dyDescent="0.3">
      <c r="A17" s="4">
        <v>16</v>
      </c>
    </row>
    <row r="18" spans="1:8" x14ac:dyDescent="0.3">
      <c r="A18" s="4">
        <v>17</v>
      </c>
    </row>
    <row r="19" spans="1:8" x14ac:dyDescent="0.3">
      <c r="A19" s="4">
        <v>18</v>
      </c>
    </row>
    <row r="20" spans="1:8" x14ac:dyDescent="0.3">
      <c r="A20" s="4">
        <v>19</v>
      </c>
    </row>
    <row r="21" spans="1:8" x14ac:dyDescent="0.3">
      <c r="A21" s="4">
        <v>20</v>
      </c>
    </row>
    <row r="22" spans="1:8" x14ac:dyDescent="0.3">
      <c r="A22" s="4">
        <v>21</v>
      </c>
      <c r="B22" s="2">
        <v>510</v>
      </c>
      <c r="C22" s="2">
        <v>2280</v>
      </c>
      <c r="D22" s="2">
        <v>1410</v>
      </c>
      <c r="E22" s="2">
        <v>1550</v>
      </c>
      <c r="G22" s="2">
        <v>780</v>
      </c>
      <c r="H22" s="2">
        <v>990</v>
      </c>
    </row>
    <row r="23" spans="1:8" x14ac:dyDescent="0.3">
      <c r="A23" s="4">
        <v>22</v>
      </c>
      <c r="B23" s="2">
        <v>1780</v>
      </c>
      <c r="C23" s="2">
        <v>1170</v>
      </c>
      <c r="D23" s="2">
        <v>750</v>
      </c>
      <c r="E23" s="2">
        <v>1210</v>
      </c>
      <c r="G23" s="2">
        <v>1580</v>
      </c>
      <c r="H23" s="2">
        <v>1410</v>
      </c>
    </row>
    <row r="24" spans="1:8" x14ac:dyDescent="0.3">
      <c r="A24" s="4">
        <v>23</v>
      </c>
      <c r="B24" s="2">
        <v>1730</v>
      </c>
      <c r="C24" s="2">
        <v>1760</v>
      </c>
      <c r="D24" s="2">
        <v>990</v>
      </c>
      <c r="E24" s="2">
        <v>1860</v>
      </c>
      <c r="G24" s="2">
        <v>1560</v>
      </c>
      <c r="H24" s="2">
        <v>850</v>
      </c>
    </row>
    <row r="25" spans="1:8" x14ac:dyDescent="0.3">
      <c r="A25" s="4">
        <v>24</v>
      </c>
      <c r="B25" s="2">
        <v>880</v>
      </c>
      <c r="C25" s="2">
        <v>860</v>
      </c>
      <c r="D25" s="2">
        <v>1750</v>
      </c>
      <c r="E25" s="2">
        <v>2160</v>
      </c>
      <c r="G25" s="2">
        <v>1520</v>
      </c>
      <c r="H25" s="2">
        <v>920</v>
      </c>
    </row>
    <row r="26" spans="1:8" x14ac:dyDescent="0.3">
      <c r="A26" s="4">
        <v>25</v>
      </c>
      <c r="B26" s="2">
        <v>770</v>
      </c>
      <c r="C26" s="2">
        <v>670</v>
      </c>
      <c r="D26" s="2">
        <v>950</v>
      </c>
      <c r="E26" s="2">
        <v>1710</v>
      </c>
      <c r="G26" s="2">
        <v>1520</v>
      </c>
      <c r="H26" s="2">
        <v>1320</v>
      </c>
    </row>
    <row r="27" spans="1:8" x14ac:dyDescent="0.3">
      <c r="A27" s="4">
        <v>26</v>
      </c>
    </row>
    <row r="28" spans="1:8" x14ac:dyDescent="0.3">
      <c r="A28" s="4">
        <v>27</v>
      </c>
    </row>
    <row r="29" spans="1:8" x14ac:dyDescent="0.3">
      <c r="A29" s="4">
        <v>28</v>
      </c>
    </row>
    <row r="30" spans="1:8" x14ac:dyDescent="0.3">
      <c r="A30" s="4">
        <v>29</v>
      </c>
    </row>
    <row r="31" spans="1:8" x14ac:dyDescent="0.3">
      <c r="A31" s="4">
        <v>30</v>
      </c>
    </row>
    <row r="32" spans="1:8" x14ac:dyDescent="0.3">
      <c r="A32" s="4">
        <v>31</v>
      </c>
    </row>
    <row r="33" spans="1:1" x14ac:dyDescent="0.3">
      <c r="A33" s="4">
        <v>32</v>
      </c>
    </row>
  </sheetData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Q12"/>
  <sheetViews>
    <sheetView workbookViewId="0"/>
  </sheetViews>
  <sheetFormatPr baseColWidth="10" defaultRowHeight="14.4" x14ac:dyDescent="0.3"/>
  <cols>
    <col min="1" max="1" width="9.88671875" style="3" bestFit="1" customWidth="1"/>
    <col min="2" max="11" width="8.77734375" style="3" customWidth="1"/>
    <col min="12" max="16384" width="11.5546875" style="3"/>
  </cols>
  <sheetData>
    <row r="1" spans="1:17" x14ac:dyDescent="0.3">
      <c r="A1" s="13" t="s">
        <v>30</v>
      </c>
      <c r="B1" s="13">
        <v>1</v>
      </c>
      <c r="C1" s="13">
        <v>2</v>
      </c>
      <c r="D1" s="13">
        <v>3</v>
      </c>
      <c r="E1" s="13">
        <v>4</v>
      </c>
      <c r="F1" s="13">
        <v>5</v>
      </c>
      <c r="G1" s="13">
        <v>6</v>
      </c>
      <c r="H1" s="13">
        <v>7</v>
      </c>
      <c r="I1" s="13">
        <v>8</v>
      </c>
      <c r="J1" s="13">
        <v>9</v>
      </c>
      <c r="K1" s="13">
        <v>10</v>
      </c>
    </row>
    <row r="2" spans="1:17" x14ac:dyDescent="0.3">
      <c r="A2" s="13">
        <v>21</v>
      </c>
      <c r="B2" s="15">
        <v>15</v>
      </c>
      <c r="C2" s="16">
        <v>39</v>
      </c>
      <c r="D2" s="16">
        <v>39</v>
      </c>
      <c r="E2" s="16">
        <v>41</v>
      </c>
      <c r="F2" s="16">
        <v>54</v>
      </c>
      <c r="G2" s="16">
        <v>115</v>
      </c>
      <c r="H2" s="16">
        <v>25</v>
      </c>
      <c r="I2" s="16">
        <v>45</v>
      </c>
      <c r="J2" s="16">
        <v>48</v>
      </c>
      <c r="K2" s="16">
        <v>68</v>
      </c>
      <c r="N2" s="2"/>
      <c r="O2" s="2"/>
      <c r="P2" s="2"/>
      <c r="Q2" s="2"/>
    </row>
    <row r="3" spans="1:17" x14ac:dyDescent="0.3">
      <c r="A3" s="13">
        <v>22</v>
      </c>
      <c r="B3" s="16">
        <v>32</v>
      </c>
      <c r="C3" s="16">
        <v>45</v>
      </c>
      <c r="D3" s="16">
        <v>55</v>
      </c>
      <c r="E3" s="15">
        <v>13</v>
      </c>
      <c r="F3" s="16">
        <v>61</v>
      </c>
      <c r="G3" s="16">
        <v>85</v>
      </c>
      <c r="H3" s="16">
        <v>29</v>
      </c>
      <c r="I3" s="16">
        <v>85</v>
      </c>
      <c r="J3" s="16">
        <v>36</v>
      </c>
      <c r="K3" s="16">
        <v>54</v>
      </c>
      <c r="N3" s="2"/>
      <c r="O3" s="2"/>
      <c r="P3" s="2"/>
      <c r="Q3" s="2"/>
    </row>
    <row r="4" spans="1:17" x14ac:dyDescent="0.3">
      <c r="A4" s="13">
        <v>23</v>
      </c>
      <c r="B4" s="16">
        <v>65</v>
      </c>
      <c r="C4" s="16">
        <v>90</v>
      </c>
      <c r="D4" s="16">
        <v>41</v>
      </c>
      <c r="E4" s="16">
        <v>52</v>
      </c>
      <c r="F4" s="16">
        <v>123</v>
      </c>
      <c r="G4" s="15">
        <v>19</v>
      </c>
      <c r="H4" s="16">
        <v>57</v>
      </c>
      <c r="I4" s="16">
        <v>62</v>
      </c>
      <c r="J4" s="16">
        <v>58</v>
      </c>
      <c r="K4" s="16">
        <v>78</v>
      </c>
      <c r="N4" s="2"/>
      <c r="O4" s="2"/>
      <c r="P4" s="2"/>
      <c r="Q4" s="2"/>
    </row>
    <row r="5" spans="1:17" x14ac:dyDescent="0.3">
      <c r="A5" s="13">
        <v>24</v>
      </c>
      <c r="B5" s="16">
        <v>44</v>
      </c>
      <c r="C5" s="16">
        <v>60</v>
      </c>
      <c r="D5" s="16">
        <v>37</v>
      </c>
      <c r="E5" s="16">
        <v>64</v>
      </c>
      <c r="F5" s="16">
        <v>82</v>
      </c>
      <c r="G5" s="16">
        <v>78</v>
      </c>
      <c r="H5" s="16">
        <v>39</v>
      </c>
      <c r="I5" s="15">
        <v>12</v>
      </c>
      <c r="J5" s="16">
        <v>95</v>
      </c>
      <c r="K5" s="16">
        <v>31</v>
      </c>
      <c r="N5" s="2"/>
      <c r="O5" s="2"/>
      <c r="P5" s="2"/>
      <c r="Q5" s="2"/>
    </row>
    <row r="6" spans="1:17" x14ac:dyDescent="0.3">
      <c r="A6" s="13">
        <v>25</v>
      </c>
      <c r="B6" s="16">
        <v>60</v>
      </c>
      <c r="C6" s="16">
        <v>82</v>
      </c>
      <c r="D6" s="16">
        <v>37</v>
      </c>
      <c r="E6" s="16">
        <v>78</v>
      </c>
      <c r="F6" s="16">
        <v>112</v>
      </c>
      <c r="G6" s="16">
        <v>55</v>
      </c>
      <c r="H6" s="16">
        <v>53</v>
      </c>
      <c r="I6" s="16">
        <v>45</v>
      </c>
      <c r="J6" s="15">
        <v>21</v>
      </c>
      <c r="K6" s="16">
        <v>125</v>
      </c>
      <c r="N6" s="2"/>
      <c r="O6" s="2"/>
      <c r="P6" s="2"/>
      <c r="Q6" s="2"/>
    </row>
    <row r="7" spans="1:17" x14ac:dyDescent="0.3">
      <c r="N7" s="2"/>
      <c r="O7" s="2"/>
      <c r="P7" s="2"/>
      <c r="Q7" s="2"/>
    </row>
    <row r="8" spans="1:17" x14ac:dyDescent="0.3">
      <c r="B8" s="12"/>
      <c r="C8" s="12"/>
      <c r="E8" s="12"/>
      <c r="G8" s="12"/>
      <c r="I8" s="12"/>
      <c r="K8" s="12"/>
      <c r="N8" s="2"/>
      <c r="O8" s="2"/>
      <c r="P8" s="2"/>
      <c r="Q8" s="2"/>
    </row>
    <row r="9" spans="1:17" x14ac:dyDescent="0.3">
      <c r="C9" s="12"/>
      <c r="E9" s="12"/>
      <c r="G9" s="12"/>
      <c r="I9" s="12"/>
      <c r="K9" s="12"/>
      <c r="N9" s="2"/>
      <c r="O9" s="2"/>
      <c r="P9" s="2"/>
      <c r="Q9" s="2"/>
    </row>
    <row r="10" spans="1:17" x14ac:dyDescent="0.3">
      <c r="C10" s="12"/>
      <c r="E10" s="12"/>
      <c r="I10" s="12"/>
      <c r="K10" s="12"/>
      <c r="N10" s="2"/>
      <c r="O10" s="2"/>
      <c r="P10" s="2"/>
      <c r="Q10" s="2"/>
    </row>
    <row r="11" spans="1:17" x14ac:dyDescent="0.3">
      <c r="C11" s="12"/>
      <c r="E11" s="12"/>
      <c r="G11" s="12"/>
      <c r="I11" s="12"/>
      <c r="K11" s="12"/>
      <c r="N11" s="2"/>
      <c r="O11" s="2"/>
      <c r="P11" s="2"/>
      <c r="Q11" s="2"/>
    </row>
    <row r="12" spans="1:17" x14ac:dyDescent="0.3">
      <c r="C12" s="12"/>
      <c r="E12" s="12"/>
      <c r="G12" s="12"/>
      <c r="I12" s="12"/>
      <c r="K12" s="12"/>
      <c r="N12" s="2"/>
      <c r="O12" s="2"/>
      <c r="P12" s="2"/>
      <c r="Q12" s="2"/>
    </row>
  </sheetData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Q12"/>
  <sheetViews>
    <sheetView workbookViewId="0"/>
  </sheetViews>
  <sheetFormatPr baseColWidth="10" defaultRowHeight="14.4" x14ac:dyDescent="0.3"/>
  <cols>
    <col min="1" max="1" width="9.88671875" style="3" bestFit="1" customWidth="1"/>
    <col min="2" max="11" width="8.77734375" style="3" customWidth="1"/>
    <col min="12" max="16384" width="11.5546875" style="3"/>
  </cols>
  <sheetData>
    <row r="1" spans="1:17" x14ac:dyDescent="0.3">
      <c r="A1" s="13" t="s">
        <v>30</v>
      </c>
      <c r="B1" s="13">
        <v>1</v>
      </c>
      <c r="C1" s="13">
        <v>2</v>
      </c>
      <c r="D1" s="13">
        <v>3</v>
      </c>
      <c r="E1" s="13">
        <v>4</v>
      </c>
      <c r="F1" s="13">
        <v>5</v>
      </c>
      <c r="G1" s="13">
        <v>6</v>
      </c>
      <c r="H1" s="13">
        <v>7</v>
      </c>
      <c r="I1" s="13">
        <v>8</v>
      </c>
      <c r="J1" s="13">
        <v>9</v>
      </c>
      <c r="K1" s="13">
        <v>10</v>
      </c>
    </row>
    <row r="2" spans="1:17" x14ac:dyDescent="0.3">
      <c r="A2" s="13">
        <v>21</v>
      </c>
      <c r="B2" s="15">
        <f>1.2*CIF1sf!B2</f>
        <v>18</v>
      </c>
      <c r="C2" s="16">
        <f>1.2*CIF1sf!C2</f>
        <v>46.8</v>
      </c>
      <c r="D2" s="16">
        <f>1.2*CIF1sf!D2</f>
        <v>46.8</v>
      </c>
      <c r="E2" s="16">
        <f>1.2*CIF1sf!E2</f>
        <v>49.199999999999996</v>
      </c>
      <c r="F2" s="16">
        <f>1.2*CIF1sf!F2</f>
        <v>64.8</v>
      </c>
      <c r="G2" s="16">
        <f>1.2*CIF1sf!G2</f>
        <v>138</v>
      </c>
      <c r="H2" s="16">
        <f>1.2*CIF1sf!H2</f>
        <v>30</v>
      </c>
      <c r="I2" s="16">
        <f>1.2*CIF1sf!I2</f>
        <v>54</v>
      </c>
      <c r="J2" s="16">
        <f>1.2*CIF1sf!J2</f>
        <v>57.599999999999994</v>
      </c>
      <c r="K2" s="16">
        <f>1.2*CIF1sf!K2</f>
        <v>81.599999999999994</v>
      </c>
      <c r="N2" s="2"/>
      <c r="O2" s="2"/>
      <c r="P2" s="2"/>
      <c r="Q2" s="2"/>
    </row>
    <row r="3" spans="1:17" x14ac:dyDescent="0.3">
      <c r="A3" s="13">
        <v>22</v>
      </c>
      <c r="B3" s="16">
        <f>1.2*CIF1sf!B3</f>
        <v>38.4</v>
      </c>
      <c r="C3" s="16">
        <f>1.2*CIF1sf!C3</f>
        <v>54</v>
      </c>
      <c r="D3" s="16">
        <f>1.2*CIF1sf!D3</f>
        <v>66</v>
      </c>
      <c r="E3" s="15">
        <f>1.2*CIF1sf!E3</f>
        <v>15.6</v>
      </c>
      <c r="F3" s="16">
        <f>1.2*CIF1sf!F3</f>
        <v>73.2</v>
      </c>
      <c r="G3" s="16">
        <f>1.2*CIF1sf!G3</f>
        <v>102</v>
      </c>
      <c r="H3" s="16">
        <f>1.2*CIF1sf!H3</f>
        <v>34.799999999999997</v>
      </c>
      <c r="I3" s="16">
        <f>1.2*CIF1sf!I3</f>
        <v>102</v>
      </c>
      <c r="J3" s="16">
        <f>1.2*CIF1sf!J3</f>
        <v>43.199999999999996</v>
      </c>
      <c r="K3" s="16">
        <f>1.2*CIF1sf!K3</f>
        <v>64.8</v>
      </c>
      <c r="N3" s="2"/>
      <c r="O3" s="2"/>
      <c r="P3" s="2"/>
      <c r="Q3" s="2"/>
    </row>
    <row r="4" spans="1:17" x14ac:dyDescent="0.3">
      <c r="A4" s="13">
        <v>23</v>
      </c>
      <c r="B4" s="16">
        <f>1.2*CIF1sf!B4</f>
        <v>78</v>
      </c>
      <c r="C4" s="16">
        <f>1.2*CIF1sf!C4</f>
        <v>108</v>
      </c>
      <c r="D4" s="16">
        <f>1.2*CIF1sf!D4</f>
        <v>49.199999999999996</v>
      </c>
      <c r="E4" s="16">
        <f>1.2*CIF1sf!E4</f>
        <v>62.4</v>
      </c>
      <c r="F4" s="16">
        <f>1.2*CIF1sf!F4</f>
        <v>147.6</v>
      </c>
      <c r="G4" s="15">
        <f>1.2*CIF1sf!G4</f>
        <v>22.8</v>
      </c>
      <c r="H4" s="16">
        <f>1.2*CIF1sf!H4</f>
        <v>68.399999999999991</v>
      </c>
      <c r="I4" s="16">
        <f>1.2*CIF1sf!I4</f>
        <v>74.399999999999991</v>
      </c>
      <c r="J4" s="16">
        <f>1.2*CIF1sf!J4</f>
        <v>69.599999999999994</v>
      </c>
      <c r="K4" s="16">
        <f>1.2*CIF1sf!K4</f>
        <v>93.6</v>
      </c>
      <c r="N4" s="2"/>
      <c r="O4" s="2"/>
      <c r="P4" s="2"/>
      <c r="Q4" s="2"/>
    </row>
    <row r="5" spans="1:17" x14ac:dyDescent="0.3">
      <c r="A5" s="13">
        <v>24</v>
      </c>
      <c r="B5" s="16">
        <f>1.2*CIF1sf!B5</f>
        <v>52.8</v>
      </c>
      <c r="C5" s="16">
        <f>1.2*CIF1sf!C5</f>
        <v>72</v>
      </c>
      <c r="D5" s="16">
        <f>1.2*CIF1sf!D5</f>
        <v>44.4</v>
      </c>
      <c r="E5" s="16">
        <f>1.2*CIF1sf!E5</f>
        <v>76.8</v>
      </c>
      <c r="F5" s="16">
        <f>1.2*CIF1sf!F5</f>
        <v>98.399999999999991</v>
      </c>
      <c r="G5" s="16">
        <f>1.2*CIF1sf!G5</f>
        <v>93.6</v>
      </c>
      <c r="H5" s="16">
        <f>1.2*CIF1sf!H5</f>
        <v>46.8</v>
      </c>
      <c r="I5" s="15">
        <f>1.2*CIF1sf!I5</f>
        <v>14.399999999999999</v>
      </c>
      <c r="J5" s="16">
        <f>1.2*CIF1sf!J5</f>
        <v>114</v>
      </c>
      <c r="K5" s="16">
        <f>1.2*CIF1sf!K5</f>
        <v>37.199999999999996</v>
      </c>
      <c r="N5" s="2"/>
      <c r="O5" s="2"/>
      <c r="P5" s="2"/>
      <c r="Q5" s="2"/>
    </row>
    <row r="6" spans="1:17" x14ac:dyDescent="0.3">
      <c r="A6" s="13">
        <v>25</v>
      </c>
      <c r="B6" s="16">
        <f>1.2*CIF1sf!B6</f>
        <v>72</v>
      </c>
      <c r="C6" s="16">
        <f>1.2*CIF1sf!C6</f>
        <v>98.399999999999991</v>
      </c>
      <c r="D6" s="16">
        <f>1.2*CIF1sf!D6</f>
        <v>44.4</v>
      </c>
      <c r="E6" s="16">
        <f>1.2*CIF1sf!E6</f>
        <v>93.6</v>
      </c>
      <c r="F6" s="16">
        <f>1.2*CIF1sf!F6</f>
        <v>134.4</v>
      </c>
      <c r="G6" s="16">
        <f>1.2*CIF1sf!G6</f>
        <v>66</v>
      </c>
      <c r="H6" s="16">
        <f>1.2*CIF1sf!H6</f>
        <v>63.599999999999994</v>
      </c>
      <c r="I6" s="16">
        <f>1.2*CIF1sf!I6</f>
        <v>54</v>
      </c>
      <c r="J6" s="15">
        <f>1.2*CIF1sf!J6</f>
        <v>25.2</v>
      </c>
      <c r="K6" s="16">
        <f>1.2*CIF1sf!K6</f>
        <v>150</v>
      </c>
      <c r="N6" s="2"/>
      <c r="O6" s="2"/>
      <c r="P6" s="2"/>
      <c r="Q6" s="2"/>
    </row>
    <row r="7" spans="1:17" x14ac:dyDescent="0.3">
      <c r="N7" s="2"/>
      <c r="O7" s="2"/>
      <c r="P7" s="2"/>
      <c r="Q7" s="2"/>
    </row>
    <row r="8" spans="1:17" x14ac:dyDescent="0.3">
      <c r="B8" s="12"/>
      <c r="C8" s="12"/>
      <c r="E8" s="12"/>
      <c r="G8" s="12"/>
      <c r="I8" s="12"/>
      <c r="K8" s="12"/>
      <c r="N8" s="2"/>
      <c r="O8" s="2"/>
      <c r="P8" s="2"/>
      <c r="Q8" s="2"/>
    </row>
    <row r="9" spans="1:17" x14ac:dyDescent="0.3">
      <c r="C9" s="12"/>
      <c r="E9" s="12"/>
      <c r="G9" s="12"/>
      <c r="I9" s="12"/>
      <c r="K9" s="12"/>
      <c r="N9" s="2"/>
      <c r="O9" s="2"/>
      <c r="P9" s="2"/>
      <c r="Q9" s="2"/>
    </row>
    <row r="10" spans="1:17" x14ac:dyDescent="0.3">
      <c r="C10" s="12"/>
      <c r="E10" s="12"/>
      <c r="I10" s="12"/>
      <c r="K10" s="12"/>
      <c r="N10" s="2"/>
      <c r="O10" s="2"/>
      <c r="P10" s="2"/>
      <c r="Q10" s="2"/>
    </row>
    <row r="11" spans="1:17" x14ac:dyDescent="0.3">
      <c r="C11" s="12"/>
      <c r="E11" s="12"/>
      <c r="G11" s="12"/>
      <c r="I11" s="12"/>
      <c r="K11" s="12"/>
      <c r="N11" s="2"/>
      <c r="O11" s="2"/>
      <c r="P11" s="2"/>
      <c r="Q11" s="2"/>
    </row>
    <row r="12" spans="1:17" x14ac:dyDescent="0.3">
      <c r="C12" s="12"/>
      <c r="E12" s="12"/>
      <c r="G12" s="12"/>
      <c r="I12" s="12"/>
      <c r="K12" s="12"/>
      <c r="N12" s="2"/>
      <c r="O12" s="2"/>
      <c r="P12" s="2"/>
      <c r="Q12" s="2"/>
    </row>
  </sheetData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Q12"/>
  <sheetViews>
    <sheetView workbookViewId="0"/>
  </sheetViews>
  <sheetFormatPr baseColWidth="10" defaultRowHeight="14.4" x14ac:dyDescent="0.3"/>
  <cols>
    <col min="1" max="1" width="9.88671875" style="3" bestFit="1" customWidth="1"/>
    <col min="2" max="11" width="8.77734375" style="3" customWidth="1"/>
    <col min="12" max="16384" width="11.5546875" style="3"/>
  </cols>
  <sheetData>
    <row r="1" spans="1:17" x14ac:dyDescent="0.3">
      <c r="A1" s="13" t="s">
        <v>30</v>
      </c>
      <c r="B1" s="13">
        <v>1</v>
      </c>
      <c r="C1" s="13">
        <v>2</v>
      </c>
      <c r="D1" s="13">
        <v>3</v>
      </c>
      <c r="E1" s="13">
        <v>4</v>
      </c>
      <c r="F1" s="13">
        <v>5</v>
      </c>
      <c r="G1" s="13">
        <v>6</v>
      </c>
      <c r="H1" s="13">
        <v>7</v>
      </c>
      <c r="I1" s="13">
        <v>8</v>
      </c>
      <c r="J1" s="13">
        <v>9</v>
      </c>
      <c r="K1" s="13">
        <v>10</v>
      </c>
    </row>
    <row r="2" spans="1:17" x14ac:dyDescent="0.3">
      <c r="A2" s="13">
        <v>21</v>
      </c>
      <c r="B2" s="15">
        <f>0.8*CIF1sf!B2</f>
        <v>12</v>
      </c>
      <c r="C2" s="16">
        <f>0.8*CIF1sf!C2</f>
        <v>31.200000000000003</v>
      </c>
      <c r="D2" s="16">
        <f>0.8*CIF1sf!D2</f>
        <v>31.200000000000003</v>
      </c>
      <c r="E2" s="16">
        <f>0.8*CIF1sf!E2</f>
        <v>32.800000000000004</v>
      </c>
      <c r="F2" s="16">
        <f>0.8*CIF1sf!F2</f>
        <v>43.2</v>
      </c>
      <c r="G2" s="16">
        <f>0.8*CIF1sf!G2</f>
        <v>92</v>
      </c>
      <c r="H2" s="16">
        <f>0.8*CIF1sf!H2</f>
        <v>20</v>
      </c>
      <c r="I2" s="16">
        <f>0.8*CIF1sf!I2</f>
        <v>36</v>
      </c>
      <c r="J2" s="16">
        <f>0.8*CIF1sf!J2</f>
        <v>38.400000000000006</v>
      </c>
      <c r="K2" s="16">
        <f>0.8*CIF1sf!K2</f>
        <v>54.400000000000006</v>
      </c>
      <c r="N2" s="2"/>
      <c r="O2" s="2"/>
      <c r="P2" s="2"/>
      <c r="Q2" s="2"/>
    </row>
    <row r="3" spans="1:17" x14ac:dyDescent="0.3">
      <c r="A3" s="13">
        <v>22</v>
      </c>
      <c r="B3" s="16">
        <f>0.8*CIF1sf!B3</f>
        <v>25.6</v>
      </c>
      <c r="C3" s="16">
        <f>0.8*CIF1sf!C3</f>
        <v>36</v>
      </c>
      <c r="D3" s="16">
        <f>0.8*CIF1sf!D3</f>
        <v>44</v>
      </c>
      <c r="E3" s="15">
        <f>0.8*CIF1sf!E3</f>
        <v>10.4</v>
      </c>
      <c r="F3" s="16">
        <f>0.8*CIF1sf!F3</f>
        <v>48.800000000000004</v>
      </c>
      <c r="G3" s="16">
        <f>0.8*CIF1sf!G3</f>
        <v>68</v>
      </c>
      <c r="H3" s="16">
        <f>0.8*CIF1sf!H3</f>
        <v>23.200000000000003</v>
      </c>
      <c r="I3" s="16">
        <f>0.8*CIF1sf!I3</f>
        <v>68</v>
      </c>
      <c r="J3" s="16">
        <f>0.8*CIF1sf!J3</f>
        <v>28.8</v>
      </c>
      <c r="K3" s="16">
        <f>0.8*CIF1sf!K3</f>
        <v>43.2</v>
      </c>
      <c r="N3" s="2"/>
      <c r="O3" s="2"/>
      <c r="P3" s="2"/>
      <c r="Q3" s="2"/>
    </row>
    <row r="4" spans="1:17" x14ac:dyDescent="0.3">
      <c r="A4" s="13">
        <v>23</v>
      </c>
      <c r="B4" s="16">
        <f>0.8*CIF1sf!B4</f>
        <v>52</v>
      </c>
      <c r="C4" s="16">
        <f>0.8*CIF1sf!C4</f>
        <v>72</v>
      </c>
      <c r="D4" s="16">
        <f>0.8*CIF1sf!D4</f>
        <v>32.800000000000004</v>
      </c>
      <c r="E4" s="16">
        <f>0.8*CIF1sf!E4</f>
        <v>41.6</v>
      </c>
      <c r="F4" s="16">
        <f>0.8*CIF1sf!F4</f>
        <v>98.4</v>
      </c>
      <c r="G4" s="15">
        <f>0.8*CIF1sf!G4</f>
        <v>15.200000000000001</v>
      </c>
      <c r="H4" s="16">
        <f>0.8*CIF1sf!H4</f>
        <v>45.6</v>
      </c>
      <c r="I4" s="16">
        <f>0.8*CIF1sf!I4</f>
        <v>49.6</v>
      </c>
      <c r="J4" s="16">
        <f>0.8*CIF1sf!J4</f>
        <v>46.400000000000006</v>
      </c>
      <c r="K4" s="16">
        <f>0.8*CIF1sf!K4</f>
        <v>62.400000000000006</v>
      </c>
      <c r="N4" s="2"/>
      <c r="O4" s="2"/>
      <c r="P4" s="2"/>
      <c r="Q4" s="2"/>
    </row>
    <row r="5" spans="1:17" x14ac:dyDescent="0.3">
      <c r="A5" s="13">
        <v>24</v>
      </c>
      <c r="B5" s="16">
        <f>0.8*CIF1sf!B5</f>
        <v>35.200000000000003</v>
      </c>
      <c r="C5" s="16">
        <f>0.8*CIF1sf!C5</f>
        <v>48</v>
      </c>
      <c r="D5" s="16">
        <f>0.8*CIF1sf!D5</f>
        <v>29.6</v>
      </c>
      <c r="E5" s="16">
        <f>0.8*CIF1sf!E5</f>
        <v>51.2</v>
      </c>
      <c r="F5" s="16">
        <f>0.8*CIF1sf!F5</f>
        <v>65.600000000000009</v>
      </c>
      <c r="G5" s="16">
        <f>0.8*CIF1sf!G5</f>
        <v>62.400000000000006</v>
      </c>
      <c r="H5" s="16">
        <f>0.8*CIF1sf!H5</f>
        <v>31.200000000000003</v>
      </c>
      <c r="I5" s="15">
        <f>0.8*CIF1sf!I5</f>
        <v>9.6000000000000014</v>
      </c>
      <c r="J5" s="16">
        <f>0.8*CIF1sf!J5</f>
        <v>76</v>
      </c>
      <c r="K5" s="16">
        <f>0.8*CIF1sf!K5</f>
        <v>24.8</v>
      </c>
      <c r="N5" s="2"/>
      <c r="O5" s="2"/>
      <c r="P5" s="2"/>
      <c r="Q5" s="2"/>
    </row>
    <row r="6" spans="1:17" x14ac:dyDescent="0.3">
      <c r="A6" s="13">
        <v>25</v>
      </c>
      <c r="B6" s="16">
        <f>0.8*CIF1sf!B6</f>
        <v>48</v>
      </c>
      <c r="C6" s="16">
        <f>0.8*CIF1sf!C6</f>
        <v>65.600000000000009</v>
      </c>
      <c r="D6" s="16">
        <f>0.8*CIF1sf!D6</f>
        <v>29.6</v>
      </c>
      <c r="E6" s="16">
        <f>0.8*CIF1sf!E6</f>
        <v>62.400000000000006</v>
      </c>
      <c r="F6" s="16">
        <f>0.8*CIF1sf!F6</f>
        <v>89.600000000000009</v>
      </c>
      <c r="G6" s="16">
        <f>0.8*CIF1sf!G6</f>
        <v>44</v>
      </c>
      <c r="H6" s="16">
        <f>0.8*CIF1sf!H6</f>
        <v>42.400000000000006</v>
      </c>
      <c r="I6" s="16">
        <f>0.8*CIF1sf!I6</f>
        <v>36</v>
      </c>
      <c r="J6" s="15">
        <f>0.8*CIF1sf!J6</f>
        <v>16.8</v>
      </c>
      <c r="K6" s="16">
        <f>0.8*CIF1sf!K6</f>
        <v>100</v>
      </c>
      <c r="N6" s="2"/>
      <c r="O6" s="2"/>
      <c r="P6" s="2"/>
      <c r="Q6" s="2"/>
    </row>
    <row r="7" spans="1:17" x14ac:dyDescent="0.3">
      <c r="N7" s="2"/>
      <c r="O7" s="2"/>
      <c r="P7" s="2"/>
      <c r="Q7" s="2"/>
    </row>
    <row r="8" spans="1:17" x14ac:dyDescent="0.3">
      <c r="B8" s="12"/>
      <c r="C8" s="12"/>
      <c r="E8" s="12"/>
      <c r="G8" s="12"/>
      <c r="I8" s="12"/>
      <c r="K8" s="12"/>
      <c r="N8" s="2"/>
      <c r="O8" s="2"/>
      <c r="P8" s="2"/>
      <c r="Q8" s="2"/>
    </row>
    <row r="9" spans="1:17" x14ac:dyDescent="0.3">
      <c r="C9" s="12"/>
      <c r="E9" s="12"/>
      <c r="G9" s="12"/>
      <c r="I9" s="12"/>
      <c r="K9" s="12"/>
      <c r="N9" s="2"/>
      <c r="O9" s="2"/>
      <c r="P9" s="2"/>
      <c r="Q9" s="2"/>
    </row>
    <row r="10" spans="1:17" x14ac:dyDescent="0.3">
      <c r="C10" s="12"/>
      <c r="E10" s="12"/>
      <c r="I10" s="12"/>
      <c r="K10" s="12"/>
      <c r="N10" s="2"/>
      <c r="O10" s="2"/>
      <c r="P10" s="2"/>
      <c r="Q10" s="2"/>
    </row>
    <row r="11" spans="1:17" x14ac:dyDescent="0.3">
      <c r="C11" s="12"/>
      <c r="E11" s="12"/>
      <c r="G11" s="12"/>
      <c r="I11" s="12"/>
      <c r="K11" s="12"/>
      <c r="N11" s="2"/>
      <c r="O11" s="2"/>
      <c r="P11" s="2"/>
      <c r="Q11" s="2"/>
    </row>
    <row r="12" spans="1:17" x14ac:dyDescent="0.3">
      <c r="C12" s="12"/>
      <c r="E12" s="12"/>
      <c r="G12" s="12"/>
      <c r="I12" s="12"/>
      <c r="K12" s="12"/>
      <c r="N12" s="2"/>
      <c r="O12" s="2"/>
      <c r="P12" s="2"/>
      <c r="Q12" s="2"/>
    </row>
  </sheetData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Q12"/>
  <sheetViews>
    <sheetView workbookViewId="0"/>
  </sheetViews>
  <sheetFormatPr baseColWidth="10" defaultRowHeight="14.4" x14ac:dyDescent="0.3"/>
  <cols>
    <col min="1" max="1" width="9.88671875" style="3" bestFit="1" customWidth="1"/>
    <col min="2" max="11" width="8.77734375" style="3" customWidth="1"/>
    <col min="12" max="16384" width="11.5546875" style="3"/>
  </cols>
  <sheetData>
    <row r="1" spans="1:17" x14ac:dyDescent="0.3">
      <c r="A1" s="13" t="s">
        <v>30</v>
      </c>
      <c r="B1" s="13">
        <v>1</v>
      </c>
      <c r="C1" s="13">
        <v>2</v>
      </c>
      <c r="D1" s="13">
        <v>3</v>
      </c>
      <c r="E1" s="13">
        <v>4</v>
      </c>
      <c r="F1" s="13">
        <v>5</v>
      </c>
      <c r="G1" s="13">
        <v>6</v>
      </c>
      <c r="H1" s="13">
        <v>7</v>
      </c>
      <c r="I1" s="13">
        <v>8</v>
      </c>
      <c r="J1" s="13">
        <v>9</v>
      </c>
      <c r="K1" s="13">
        <v>10</v>
      </c>
    </row>
    <row r="2" spans="1:17" x14ac:dyDescent="0.3">
      <c r="A2" s="13">
        <v>21</v>
      </c>
      <c r="B2" s="15">
        <f>1.5*CIF1sf!B2</f>
        <v>22.5</v>
      </c>
      <c r="C2" s="16">
        <f>1.5*CIF1sf!C2</f>
        <v>58.5</v>
      </c>
      <c r="D2" s="16">
        <f>1.5*CIF1sf!D2</f>
        <v>58.5</v>
      </c>
      <c r="E2" s="16">
        <f>1.5*CIF1sf!E2</f>
        <v>61.5</v>
      </c>
      <c r="F2" s="16">
        <f>1.5*CIF1sf!F2</f>
        <v>81</v>
      </c>
      <c r="G2" s="16">
        <f>1.5*CIF1sf!G2</f>
        <v>172.5</v>
      </c>
      <c r="H2" s="16">
        <f>1.5*CIF1sf!H2</f>
        <v>37.5</v>
      </c>
      <c r="I2" s="16">
        <f>1.5*CIF1sf!I2</f>
        <v>67.5</v>
      </c>
      <c r="J2" s="16">
        <f>1.5*CIF1sf!J2</f>
        <v>72</v>
      </c>
      <c r="K2" s="16">
        <f>1.5*CIF1sf!K2</f>
        <v>102</v>
      </c>
      <c r="N2" s="2"/>
      <c r="O2" s="2"/>
      <c r="P2" s="2"/>
      <c r="Q2" s="2"/>
    </row>
    <row r="3" spans="1:17" x14ac:dyDescent="0.3">
      <c r="A3" s="13">
        <v>22</v>
      </c>
      <c r="B3" s="16">
        <f>1.5*CIF1sf!B3</f>
        <v>48</v>
      </c>
      <c r="C3" s="16">
        <f>1.5*CIF1sf!C3</f>
        <v>67.5</v>
      </c>
      <c r="D3" s="16">
        <f>1.5*CIF1sf!D3</f>
        <v>82.5</v>
      </c>
      <c r="E3" s="15">
        <f>1.5*CIF1sf!E3</f>
        <v>19.5</v>
      </c>
      <c r="F3" s="16">
        <f>1.5*CIF1sf!F3</f>
        <v>91.5</v>
      </c>
      <c r="G3" s="16">
        <f>1.5*CIF1sf!G3</f>
        <v>127.5</v>
      </c>
      <c r="H3" s="16">
        <f>1.5*CIF1sf!H3</f>
        <v>43.5</v>
      </c>
      <c r="I3" s="16">
        <f>1.5*CIF1sf!I3</f>
        <v>127.5</v>
      </c>
      <c r="J3" s="16">
        <f>1.5*CIF1sf!J3</f>
        <v>54</v>
      </c>
      <c r="K3" s="16">
        <f>1.5*CIF1sf!K3</f>
        <v>81</v>
      </c>
      <c r="N3" s="2"/>
      <c r="O3" s="2"/>
      <c r="P3" s="2"/>
      <c r="Q3" s="2"/>
    </row>
    <row r="4" spans="1:17" x14ac:dyDescent="0.3">
      <c r="A4" s="13">
        <v>23</v>
      </c>
      <c r="B4" s="16">
        <f>1.5*CIF1sf!B4</f>
        <v>97.5</v>
      </c>
      <c r="C4" s="16">
        <f>1.5*CIF1sf!C4</f>
        <v>135</v>
      </c>
      <c r="D4" s="16">
        <f>1.5*CIF1sf!D4</f>
        <v>61.5</v>
      </c>
      <c r="E4" s="16">
        <f>1.5*CIF1sf!E4</f>
        <v>78</v>
      </c>
      <c r="F4" s="16">
        <f>1.5*CIF1sf!F4</f>
        <v>184.5</v>
      </c>
      <c r="G4" s="15">
        <f>1.5*CIF1sf!G4</f>
        <v>28.5</v>
      </c>
      <c r="H4" s="16">
        <f>1.5*CIF1sf!H4</f>
        <v>85.5</v>
      </c>
      <c r="I4" s="16">
        <f>1.5*CIF1sf!I4</f>
        <v>93</v>
      </c>
      <c r="J4" s="16">
        <f>1.5*CIF1sf!J4</f>
        <v>87</v>
      </c>
      <c r="K4" s="16">
        <f>1.5*CIF1sf!K4</f>
        <v>117</v>
      </c>
      <c r="N4" s="2"/>
      <c r="O4" s="2"/>
      <c r="P4" s="2"/>
      <c r="Q4" s="2"/>
    </row>
    <row r="5" spans="1:17" x14ac:dyDescent="0.3">
      <c r="A5" s="13">
        <v>24</v>
      </c>
      <c r="B5" s="16">
        <f>1.5*CIF1sf!B5</f>
        <v>66</v>
      </c>
      <c r="C5" s="16">
        <f>1.5*CIF1sf!C5</f>
        <v>90</v>
      </c>
      <c r="D5" s="16">
        <f>1.5*CIF1sf!D5</f>
        <v>55.5</v>
      </c>
      <c r="E5" s="16">
        <f>1.5*CIF1sf!E5</f>
        <v>96</v>
      </c>
      <c r="F5" s="16">
        <f>1.5*CIF1sf!F5</f>
        <v>123</v>
      </c>
      <c r="G5" s="16">
        <f>1.5*CIF1sf!G5</f>
        <v>117</v>
      </c>
      <c r="H5" s="16">
        <f>1.5*CIF1sf!H5</f>
        <v>58.5</v>
      </c>
      <c r="I5" s="15">
        <f>1.5*CIF1sf!I5</f>
        <v>18</v>
      </c>
      <c r="J5" s="16">
        <f>1.5*CIF1sf!J5</f>
        <v>142.5</v>
      </c>
      <c r="K5" s="16">
        <f>1.5*CIF1sf!K5</f>
        <v>46.5</v>
      </c>
      <c r="N5" s="2"/>
      <c r="O5" s="2"/>
      <c r="P5" s="2"/>
      <c r="Q5" s="2"/>
    </row>
    <row r="6" spans="1:17" x14ac:dyDescent="0.3">
      <c r="A6" s="13">
        <v>25</v>
      </c>
      <c r="B6" s="16">
        <f>1.5*CIF1sf!B6</f>
        <v>90</v>
      </c>
      <c r="C6" s="16">
        <f>1.5*CIF1sf!C6</f>
        <v>123</v>
      </c>
      <c r="D6" s="16">
        <f>1.5*CIF1sf!D6</f>
        <v>55.5</v>
      </c>
      <c r="E6" s="16">
        <f>1.5*CIF1sf!E6</f>
        <v>117</v>
      </c>
      <c r="F6" s="16">
        <f>1.5*CIF1sf!F6</f>
        <v>168</v>
      </c>
      <c r="G6" s="16">
        <f>1.5*CIF1sf!G6</f>
        <v>82.5</v>
      </c>
      <c r="H6" s="16">
        <f>1.5*CIF1sf!H6</f>
        <v>79.5</v>
      </c>
      <c r="I6" s="16">
        <f>1.5*CIF1sf!I6</f>
        <v>67.5</v>
      </c>
      <c r="J6" s="15">
        <f>1.5*CIF1sf!J6</f>
        <v>31.5</v>
      </c>
      <c r="K6" s="16">
        <f>1.5*CIF1sf!K6</f>
        <v>187.5</v>
      </c>
      <c r="N6" s="2"/>
      <c r="O6" s="2"/>
      <c r="P6" s="2"/>
      <c r="Q6" s="2"/>
    </row>
    <row r="7" spans="1:17" x14ac:dyDescent="0.3">
      <c r="N7" s="2"/>
      <c r="O7" s="2"/>
      <c r="P7" s="2"/>
      <c r="Q7" s="2"/>
    </row>
    <row r="8" spans="1:17" x14ac:dyDescent="0.3">
      <c r="B8" s="12"/>
      <c r="C8" s="12"/>
      <c r="E8" s="12"/>
      <c r="G8" s="12"/>
      <c r="I8" s="12"/>
      <c r="K8" s="12"/>
      <c r="N8" s="2"/>
      <c r="O8" s="2"/>
      <c r="P8" s="2"/>
      <c r="Q8" s="2"/>
    </row>
    <row r="9" spans="1:17" x14ac:dyDescent="0.3">
      <c r="C9" s="12"/>
      <c r="E9" s="12"/>
      <c r="G9" s="12"/>
      <c r="I9" s="12"/>
      <c r="K9" s="12"/>
      <c r="N9" s="2"/>
      <c r="O9" s="2"/>
      <c r="P9" s="2"/>
      <c r="Q9" s="2"/>
    </row>
    <row r="10" spans="1:17" x14ac:dyDescent="0.3">
      <c r="C10" s="12"/>
      <c r="E10" s="12"/>
      <c r="I10" s="12"/>
      <c r="K10" s="12"/>
      <c r="N10" s="2"/>
      <c r="O10" s="2"/>
      <c r="P10" s="2"/>
      <c r="Q10" s="2"/>
    </row>
    <row r="11" spans="1:17" x14ac:dyDescent="0.3">
      <c r="C11" s="12"/>
      <c r="E11" s="12"/>
      <c r="G11" s="12"/>
      <c r="I11" s="12"/>
      <c r="K11" s="12"/>
      <c r="N11" s="2"/>
      <c r="O11" s="2"/>
      <c r="P11" s="2"/>
      <c r="Q11" s="2"/>
    </row>
    <row r="12" spans="1:17" x14ac:dyDescent="0.3">
      <c r="C12" s="12"/>
      <c r="E12" s="12"/>
      <c r="G12" s="12"/>
      <c r="I12" s="12"/>
      <c r="K12" s="12"/>
      <c r="N12" s="2"/>
      <c r="O12" s="2"/>
      <c r="P12" s="2"/>
      <c r="Q12" s="2"/>
    </row>
  </sheetData>
  <pageMargins left="0.7" right="0.7" top="0.78740157499999996" bottom="0.78740157499999996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K11"/>
  <sheetViews>
    <sheetView workbookViewId="0">
      <selection activeCell="M20" sqref="M20"/>
    </sheetView>
  </sheetViews>
  <sheetFormatPr baseColWidth="10" defaultRowHeight="14.4" x14ac:dyDescent="0.3"/>
  <cols>
    <col min="1" max="1" width="9.88671875" style="3" bestFit="1" customWidth="1"/>
    <col min="2" max="12" width="8.77734375" style="3" customWidth="1"/>
    <col min="13" max="16384" width="11.5546875" style="3"/>
  </cols>
  <sheetData>
    <row r="1" spans="1:11" x14ac:dyDescent="0.3">
      <c r="A1" s="13" t="s">
        <v>30</v>
      </c>
      <c r="B1" s="13">
        <v>11</v>
      </c>
      <c r="C1" s="13">
        <v>12</v>
      </c>
      <c r="D1" s="13">
        <v>13</v>
      </c>
      <c r="E1" s="13">
        <v>14</v>
      </c>
      <c r="F1" s="13">
        <v>15</v>
      </c>
      <c r="G1" s="13">
        <v>16</v>
      </c>
      <c r="H1" s="13">
        <v>17</v>
      </c>
      <c r="I1" s="13">
        <v>18</v>
      </c>
      <c r="J1" s="13">
        <v>19</v>
      </c>
      <c r="K1" s="13">
        <v>20</v>
      </c>
    </row>
    <row r="2" spans="1:11" x14ac:dyDescent="0.3">
      <c r="A2" s="13">
        <v>1</v>
      </c>
      <c r="B2" s="15">
        <v>0</v>
      </c>
      <c r="C2" s="16">
        <v>13</v>
      </c>
      <c r="D2" s="16">
        <v>23</v>
      </c>
      <c r="E2" s="16">
        <v>37</v>
      </c>
      <c r="F2" s="16">
        <v>39</v>
      </c>
      <c r="G2" s="16">
        <v>18</v>
      </c>
      <c r="H2" s="16">
        <v>25</v>
      </c>
      <c r="I2" s="16">
        <v>35</v>
      </c>
      <c r="J2" s="16">
        <v>41</v>
      </c>
      <c r="K2" s="16">
        <v>27</v>
      </c>
    </row>
    <row r="3" spans="1:11" x14ac:dyDescent="0.3">
      <c r="A3" s="13">
        <v>2</v>
      </c>
      <c r="B3" s="16">
        <v>38</v>
      </c>
      <c r="C3" s="15">
        <v>0</v>
      </c>
      <c r="D3" s="16">
        <v>25</v>
      </c>
      <c r="E3" s="16">
        <v>9</v>
      </c>
      <c r="F3" s="16">
        <v>27</v>
      </c>
      <c r="G3" s="16">
        <v>35</v>
      </c>
      <c r="H3" s="16">
        <v>45</v>
      </c>
      <c r="I3" s="16">
        <v>26</v>
      </c>
      <c r="J3" s="16">
        <v>15</v>
      </c>
      <c r="K3" s="16">
        <v>47</v>
      </c>
    </row>
    <row r="4" spans="1:11" x14ac:dyDescent="0.3">
      <c r="A4" s="13">
        <v>3</v>
      </c>
      <c r="B4" s="16">
        <v>28</v>
      </c>
      <c r="C4" s="16">
        <v>39</v>
      </c>
      <c r="D4" s="15">
        <v>0</v>
      </c>
      <c r="E4" s="16">
        <v>31</v>
      </c>
      <c r="F4" s="16">
        <v>15</v>
      </c>
      <c r="G4" s="16">
        <v>48</v>
      </c>
      <c r="H4" s="16">
        <v>38</v>
      </c>
      <c r="I4" s="16">
        <v>17</v>
      </c>
      <c r="J4" s="16">
        <v>25</v>
      </c>
      <c r="K4" s="16">
        <v>32</v>
      </c>
    </row>
    <row r="5" spans="1:11" x14ac:dyDescent="0.3">
      <c r="A5" s="13">
        <v>4</v>
      </c>
      <c r="B5" s="16">
        <v>25</v>
      </c>
      <c r="C5" s="16">
        <v>23</v>
      </c>
      <c r="D5" s="16">
        <v>27</v>
      </c>
      <c r="E5" s="15">
        <v>0</v>
      </c>
      <c r="F5" s="16">
        <v>25</v>
      </c>
      <c r="G5" s="16">
        <v>41</v>
      </c>
      <c r="H5" s="16">
        <v>28</v>
      </c>
      <c r="I5" s="16">
        <v>33</v>
      </c>
      <c r="J5" s="16">
        <v>24</v>
      </c>
      <c r="K5" s="16">
        <v>41</v>
      </c>
    </row>
    <row r="6" spans="1:11" x14ac:dyDescent="0.3">
      <c r="A6" s="13">
        <v>5</v>
      </c>
      <c r="B6" s="16">
        <v>28</v>
      </c>
      <c r="C6" s="16">
        <v>25</v>
      </c>
      <c r="D6" s="16">
        <v>34</v>
      </c>
      <c r="E6" s="16">
        <v>12</v>
      </c>
      <c r="F6" s="15">
        <v>0</v>
      </c>
      <c r="G6" s="16">
        <v>38</v>
      </c>
      <c r="H6" s="16">
        <v>15</v>
      </c>
      <c r="I6" s="16">
        <v>38</v>
      </c>
      <c r="J6" s="16">
        <v>14</v>
      </c>
      <c r="K6" s="16">
        <v>14</v>
      </c>
    </row>
    <row r="7" spans="1:11" x14ac:dyDescent="0.3">
      <c r="A7" s="13">
        <v>6</v>
      </c>
      <c r="B7" s="16">
        <v>13</v>
      </c>
      <c r="C7" s="16">
        <v>25</v>
      </c>
      <c r="D7" s="16">
        <v>14</v>
      </c>
      <c r="E7" s="16">
        <v>45</v>
      </c>
      <c r="F7" s="16">
        <v>48</v>
      </c>
      <c r="G7" s="15">
        <v>0</v>
      </c>
      <c r="H7" s="16">
        <v>23</v>
      </c>
      <c r="I7" s="16">
        <v>28</v>
      </c>
      <c r="J7" s="16">
        <v>8</v>
      </c>
      <c r="K7" s="16">
        <v>52</v>
      </c>
    </row>
    <row r="8" spans="1:11" x14ac:dyDescent="0.3">
      <c r="A8" s="13">
        <v>7</v>
      </c>
      <c r="B8" s="16">
        <v>15</v>
      </c>
      <c r="C8" s="16">
        <v>8</v>
      </c>
      <c r="D8" s="16">
        <v>24</v>
      </c>
      <c r="E8" s="16">
        <v>33</v>
      </c>
      <c r="F8" s="16">
        <v>11</v>
      </c>
      <c r="G8" s="16">
        <v>17</v>
      </c>
      <c r="H8" s="15">
        <v>0</v>
      </c>
      <c r="I8" s="16">
        <v>39</v>
      </c>
      <c r="J8" s="16">
        <v>38</v>
      </c>
      <c r="K8" s="16">
        <v>42</v>
      </c>
    </row>
    <row r="9" spans="1:11" x14ac:dyDescent="0.3">
      <c r="A9" s="13">
        <v>8</v>
      </c>
      <c r="B9" s="16">
        <v>25</v>
      </c>
      <c r="C9" s="16">
        <v>52</v>
      </c>
      <c r="D9" s="16">
        <v>17</v>
      </c>
      <c r="E9" s="16">
        <v>38</v>
      </c>
      <c r="F9" s="16">
        <v>14</v>
      </c>
      <c r="G9" s="16">
        <v>45</v>
      </c>
      <c r="H9" s="16">
        <v>18</v>
      </c>
      <c r="I9" s="15">
        <v>0</v>
      </c>
      <c r="J9" s="16">
        <v>32</v>
      </c>
      <c r="K9" s="16">
        <v>9</v>
      </c>
    </row>
    <row r="10" spans="1:11" x14ac:dyDescent="0.3">
      <c r="A10" s="13">
        <v>9</v>
      </c>
      <c r="B10" s="16">
        <v>41</v>
      </c>
      <c r="C10" s="16">
        <v>33</v>
      </c>
      <c r="D10" s="16">
        <v>45</v>
      </c>
      <c r="E10" s="16">
        <v>22</v>
      </c>
      <c r="F10" s="16">
        <v>23</v>
      </c>
      <c r="G10" s="16">
        <v>24</v>
      </c>
      <c r="H10" s="16">
        <v>34</v>
      </c>
      <c r="I10" s="16">
        <v>51</v>
      </c>
      <c r="J10" s="15">
        <v>0</v>
      </c>
      <c r="K10" s="16">
        <v>15</v>
      </c>
    </row>
    <row r="11" spans="1:11" x14ac:dyDescent="0.3">
      <c r="A11" s="13">
        <v>10</v>
      </c>
      <c r="B11" s="16">
        <v>38</v>
      </c>
      <c r="C11" s="16">
        <v>27</v>
      </c>
      <c r="D11" s="16">
        <v>44</v>
      </c>
      <c r="E11" s="16">
        <v>14</v>
      </c>
      <c r="F11" s="16">
        <v>56</v>
      </c>
      <c r="G11" s="16">
        <v>26</v>
      </c>
      <c r="H11" s="16">
        <v>41</v>
      </c>
      <c r="I11" s="16">
        <v>38</v>
      </c>
      <c r="J11" s="16">
        <v>43</v>
      </c>
      <c r="K11" s="15">
        <v>0</v>
      </c>
    </row>
  </sheetData>
  <pageMargins left="0.7" right="0.7" top="0.78740157499999996" bottom="0.78740157499999996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Q12"/>
  <sheetViews>
    <sheetView workbookViewId="0">
      <selection activeCell="M26" sqref="M26"/>
    </sheetView>
  </sheetViews>
  <sheetFormatPr baseColWidth="10" defaultRowHeight="14.4" x14ac:dyDescent="0.3"/>
  <cols>
    <col min="1" max="1" width="9.88671875" style="3" bestFit="1" customWidth="1"/>
    <col min="2" max="11" width="8.77734375" style="3" customWidth="1"/>
    <col min="12" max="16384" width="11.5546875" style="3"/>
  </cols>
  <sheetData>
    <row r="1" spans="1:17" x14ac:dyDescent="0.3">
      <c r="A1" s="13" t="s">
        <v>30</v>
      </c>
      <c r="B1" s="13">
        <v>1</v>
      </c>
      <c r="C1" s="13">
        <v>2</v>
      </c>
      <c r="D1" s="13">
        <v>3</v>
      </c>
      <c r="E1" s="13">
        <v>4</v>
      </c>
      <c r="F1" s="13">
        <v>5</v>
      </c>
      <c r="G1" s="13">
        <v>6</v>
      </c>
      <c r="H1" s="13">
        <v>7</v>
      </c>
      <c r="I1" s="13">
        <v>8</v>
      </c>
      <c r="J1" s="13">
        <v>9</v>
      </c>
      <c r="K1" s="13">
        <v>10</v>
      </c>
    </row>
    <row r="2" spans="1:17" x14ac:dyDescent="0.3">
      <c r="A2" s="13">
        <v>21</v>
      </c>
      <c r="B2" s="15">
        <f>0.4*CIF1sf!B2</f>
        <v>6</v>
      </c>
      <c r="C2" s="16">
        <f>0.4*CIF1sf!C2</f>
        <v>15.600000000000001</v>
      </c>
      <c r="D2" s="16">
        <f>0.4*CIF1sf!D2</f>
        <v>15.600000000000001</v>
      </c>
      <c r="E2" s="16">
        <f>0.4*CIF1sf!E2</f>
        <v>16.400000000000002</v>
      </c>
      <c r="F2" s="16">
        <f>0.4*CIF1sf!F2</f>
        <v>21.6</v>
      </c>
      <c r="G2" s="16">
        <f>0.4*CIF1sf!G2</f>
        <v>46</v>
      </c>
      <c r="H2" s="16">
        <f>0.4*CIF1sf!H2</f>
        <v>10</v>
      </c>
      <c r="I2" s="16">
        <f>0.4*CIF1sf!I2</f>
        <v>18</v>
      </c>
      <c r="J2" s="16">
        <f>0.4*CIF1sf!J2</f>
        <v>19.200000000000003</v>
      </c>
      <c r="K2" s="16">
        <f>0.4*CIF1sf!K2</f>
        <v>27.200000000000003</v>
      </c>
      <c r="N2" s="2"/>
      <c r="O2" s="2"/>
      <c r="P2" s="2"/>
      <c r="Q2" s="2"/>
    </row>
    <row r="3" spans="1:17" x14ac:dyDescent="0.3">
      <c r="A3" s="13">
        <v>22</v>
      </c>
      <c r="B3" s="16">
        <f>0.4*CIF1sf!B3</f>
        <v>12.8</v>
      </c>
      <c r="C3" s="16">
        <f>0.4*CIF1sf!C3</f>
        <v>18</v>
      </c>
      <c r="D3" s="16">
        <f>0.4*CIF1sf!D3</f>
        <v>22</v>
      </c>
      <c r="E3" s="15">
        <f>0.4*CIF1sf!E3</f>
        <v>5.2</v>
      </c>
      <c r="F3" s="16">
        <f>0.4*CIF1sf!F3</f>
        <v>24.400000000000002</v>
      </c>
      <c r="G3" s="16">
        <f>0.4*CIF1sf!G3</f>
        <v>34</v>
      </c>
      <c r="H3" s="16">
        <f>0.4*CIF1sf!H3</f>
        <v>11.600000000000001</v>
      </c>
      <c r="I3" s="16">
        <f>0.4*CIF1sf!I3</f>
        <v>34</v>
      </c>
      <c r="J3" s="16">
        <f>0.4*CIF1sf!J3</f>
        <v>14.4</v>
      </c>
      <c r="K3" s="16">
        <f>0.4*CIF1sf!K3</f>
        <v>21.6</v>
      </c>
      <c r="N3" s="2"/>
      <c r="O3" s="2"/>
      <c r="P3" s="2"/>
      <c r="Q3" s="2"/>
    </row>
    <row r="4" spans="1:17" x14ac:dyDescent="0.3">
      <c r="A4" s="13">
        <v>23</v>
      </c>
      <c r="B4" s="16">
        <f>0.4*CIF1sf!B4</f>
        <v>26</v>
      </c>
      <c r="C4" s="16">
        <f>0.4*CIF1sf!C4</f>
        <v>36</v>
      </c>
      <c r="D4" s="16">
        <f>0.4*CIF1sf!D4</f>
        <v>16.400000000000002</v>
      </c>
      <c r="E4" s="16">
        <f>0.4*CIF1sf!E4</f>
        <v>20.8</v>
      </c>
      <c r="F4" s="16">
        <f>0.4*CIF1sf!F4</f>
        <v>49.2</v>
      </c>
      <c r="G4" s="15">
        <f>0.4*CIF1sf!G4</f>
        <v>7.6000000000000005</v>
      </c>
      <c r="H4" s="16">
        <f>0.4*CIF1sf!H4</f>
        <v>22.8</v>
      </c>
      <c r="I4" s="16">
        <f>0.4*CIF1sf!I4</f>
        <v>24.8</v>
      </c>
      <c r="J4" s="16">
        <f>0.4*CIF1sf!J4</f>
        <v>23.200000000000003</v>
      </c>
      <c r="K4" s="16">
        <f>0.4*CIF1sf!K4</f>
        <v>31.200000000000003</v>
      </c>
      <c r="N4" s="2"/>
      <c r="O4" s="2"/>
      <c r="P4" s="2"/>
      <c r="Q4" s="2"/>
    </row>
    <row r="5" spans="1:17" x14ac:dyDescent="0.3">
      <c r="A5" s="13">
        <v>24</v>
      </c>
      <c r="B5" s="16">
        <f>0.4*CIF1sf!B5</f>
        <v>17.600000000000001</v>
      </c>
      <c r="C5" s="16">
        <f>0.4*CIF1sf!C5</f>
        <v>24</v>
      </c>
      <c r="D5" s="16">
        <f>0.4*CIF1sf!D5</f>
        <v>14.8</v>
      </c>
      <c r="E5" s="16">
        <f>0.4*CIF1sf!E5</f>
        <v>25.6</v>
      </c>
      <c r="F5" s="16">
        <f>0.4*CIF1sf!F5</f>
        <v>32.800000000000004</v>
      </c>
      <c r="G5" s="16">
        <f>0.4*CIF1sf!G5</f>
        <v>31.200000000000003</v>
      </c>
      <c r="H5" s="16">
        <f>0.4*CIF1sf!H5</f>
        <v>15.600000000000001</v>
      </c>
      <c r="I5" s="15">
        <f>0.4*CIF1sf!I5</f>
        <v>4.8000000000000007</v>
      </c>
      <c r="J5" s="16">
        <f>0.4*CIF1sf!J5</f>
        <v>38</v>
      </c>
      <c r="K5" s="16">
        <f>0.4*CIF1sf!K5</f>
        <v>12.4</v>
      </c>
      <c r="N5" s="2"/>
      <c r="O5" s="2"/>
      <c r="P5" s="2"/>
      <c r="Q5" s="2"/>
    </row>
    <row r="6" spans="1:17" x14ac:dyDescent="0.3">
      <c r="A6" s="13">
        <v>25</v>
      </c>
      <c r="B6" s="16">
        <f>0.4*CIF1sf!B6</f>
        <v>24</v>
      </c>
      <c r="C6" s="16">
        <f>0.4*CIF1sf!C6</f>
        <v>32.800000000000004</v>
      </c>
      <c r="D6" s="16">
        <f>0.4*CIF1sf!D6</f>
        <v>14.8</v>
      </c>
      <c r="E6" s="16">
        <f>0.4*CIF1sf!E6</f>
        <v>31.200000000000003</v>
      </c>
      <c r="F6" s="16">
        <f>0.4*CIF1sf!F6</f>
        <v>44.800000000000004</v>
      </c>
      <c r="G6" s="16">
        <f>0.4*CIF1sf!G6</f>
        <v>22</v>
      </c>
      <c r="H6" s="16">
        <f>0.4*CIF1sf!H6</f>
        <v>21.200000000000003</v>
      </c>
      <c r="I6" s="16">
        <f>0.4*CIF1sf!I6</f>
        <v>18</v>
      </c>
      <c r="J6" s="15">
        <f>0.4*CIF1sf!J6</f>
        <v>8.4</v>
      </c>
      <c r="K6" s="16">
        <f>0.4*CIF1sf!K6</f>
        <v>50</v>
      </c>
      <c r="N6" s="2"/>
      <c r="O6" s="2"/>
      <c r="P6" s="2"/>
      <c r="Q6" s="2"/>
    </row>
    <row r="7" spans="1:17" x14ac:dyDescent="0.3">
      <c r="N7" s="2"/>
      <c r="O7" s="2"/>
      <c r="P7" s="2"/>
      <c r="Q7" s="2"/>
    </row>
    <row r="8" spans="1:17" x14ac:dyDescent="0.3">
      <c r="B8" s="12"/>
      <c r="C8" s="12"/>
      <c r="E8" s="12"/>
      <c r="G8" s="12"/>
      <c r="I8" s="12"/>
      <c r="K8" s="12"/>
      <c r="N8" s="2"/>
      <c r="O8" s="2"/>
      <c r="P8" s="2"/>
      <c r="Q8" s="2"/>
    </row>
    <row r="9" spans="1:17" x14ac:dyDescent="0.3">
      <c r="C9" s="12"/>
      <c r="E9" s="12"/>
      <c r="G9" s="12"/>
      <c r="I9" s="12"/>
      <c r="K9" s="12"/>
      <c r="N9" s="2"/>
      <c r="O9" s="2"/>
      <c r="P9" s="2"/>
      <c r="Q9" s="2"/>
    </row>
    <row r="10" spans="1:17" x14ac:dyDescent="0.3">
      <c r="C10" s="12"/>
      <c r="E10" s="12"/>
      <c r="I10" s="12"/>
      <c r="K10" s="12"/>
      <c r="N10" s="2"/>
      <c r="O10" s="2"/>
      <c r="P10" s="2"/>
      <c r="Q10" s="2"/>
    </row>
    <row r="11" spans="1:17" x14ac:dyDescent="0.3">
      <c r="C11" s="12"/>
      <c r="E11" s="12"/>
      <c r="G11" s="12"/>
      <c r="I11" s="12"/>
      <c r="K11" s="12"/>
      <c r="N11" s="2"/>
      <c r="O11" s="2"/>
      <c r="P11" s="2"/>
      <c r="Q11" s="2"/>
    </row>
    <row r="12" spans="1:17" x14ac:dyDescent="0.3">
      <c r="C12" s="12"/>
      <c r="E12" s="12"/>
      <c r="G12" s="12"/>
      <c r="I12" s="12"/>
      <c r="K12" s="12"/>
      <c r="N12" s="2"/>
      <c r="O12" s="2"/>
      <c r="P12" s="2"/>
      <c r="Q12" s="2"/>
    </row>
  </sheetData>
  <pageMargins left="0.7" right="0.7" top="0.78740157499999996" bottom="0.78740157499999996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Q12"/>
  <sheetViews>
    <sheetView workbookViewId="0">
      <selection activeCell="M18" sqref="M18"/>
    </sheetView>
  </sheetViews>
  <sheetFormatPr baseColWidth="10" defaultRowHeight="14.4" x14ac:dyDescent="0.3"/>
  <cols>
    <col min="1" max="11" width="8.77734375" style="3" customWidth="1"/>
    <col min="12" max="16384" width="11.5546875" style="3"/>
  </cols>
  <sheetData>
    <row r="1" spans="1:17" x14ac:dyDescent="0.3">
      <c r="A1" s="13" t="s">
        <v>30</v>
      </c>
      <c r="B1" s="13">
        <v>1</v>
      </c>
      <c r="C1" s="13">
        <v>2</v>
      </c>
      <c r="D1" s="13">
        <v>3</v>
      </c>
      <c r="E1" s="13">
        <v>4</v>
      </c>
      <c r="F1" s="13">
        <v>5</v>
      </c>
      <c r="G1" s="13">
        <v>6</v>
      </c>
      <c r="H1" s="13">
        <v>7</v>
      </c>
      <c r="I1" s="13">
        <v>8</v>
      </c>
      <c r="J1" s="13">
        <v>9</v>
      </c>
      <c r="K1" s="13">
        <v>10</v>
      </c>
    </row>
    <row r="2" spans="1:17" x14ac:dyDescent="0.3">
      <c r="A2" s="13">
        <v>21</v>
      </c>
      <c r="B2" s="15">
        <f>0.8*CIF1sf!B2</f>
        <v>12</v>
      </c>
      <c r="C2" s="16">
        <f>0.8*CIF1sf!C2</f>
        <v>31.200000000000003</v>
      </c>
      <c r="D2" s="16">
        <f>0.8*CIF1sf!D2</f>
        <v>31.200000000000003</v>
      </c>
      <c r="E2" s="16">
        <f>0.8*CIF1sf!E2</f>
        <v>32.800000000000004</v>
      </c>
      <c r="F2" s="16">
        <f>0.8*CIF1sf!F2</f>
        <v>43.2</v>
      </c>
      <c r="G2" s="16">
        <f>0.8*CIF1sf!G2</f>
        <v>92</v>
      </c>
      <c r="H2" s="16">
        <f>0.8*CIF1sf!H2</f>
        <v>20</v>
      </c>
      <c r="I2" s="16">
        <f>0.8*CIF1sf!I2</f>
        <v>36</v>
      </c>
      <c r="J2" s="16">
        <f>0.8*CIF1sf!J2</f>
        <v>38.400000000000006</v>
      </c>
      <c r="K2" s="16">
        <f>0.8*CIF1sf!K2</f>
        <v>54.400000000000006</v>
      </c>
      <c r="N2" s="2"/>
      <c r="O2" s="2"/>
      <c r="P2" s="2"/>
      <c r="Q2" s="2"/>
    </row>
    <row r="3" spans="1:17" x14ac:dyDescent="0.3">
      <c r="A3" s="13">
        <v>22</v>
      </c>
      <c r="B3" s="16">
        <f>0.8*CIF1sf!B3</f>
        <v>25.6</v>
      </c>
      <c r="C3" s="16">
        <f>0.8*CIF1sf!C3</f>
        <v>36</v>
      </c>
      <c r="D3" s="16">
        <f>0.8*CIF1sf!D3</f>
        <v>44</v>
      </c>
      <c r="E3" s="15">
        <f>0.8*CIF1sf!E3</f>
        <v>10.4</v>
      </c>
      <c r="F3" s="16">
        <f>0.8*CIF1sf!F3</f>
        <v>48.800000000000004</v>
      </c>
      <c r="G3" s="16">
        <f>0.8*CIF1sf!G3</f>
        <v>68</v>
      </c>
      <c r="H3" s="16">
        <f>0.8*CIF1sf!H3</f>
        <v>23.200000000000003</v>
      </c>
      <c r="I3" s="16">
        <f>0.8*CIF1sf!I3</f>
        <v>68</v>
      </c>
      <c r="J3" s="16">
        <f>0.8*CIF1sf!J3</f>
        <v>28.8</v>
      </c>
      <c r="K3" s="16">
        <f>0.8*CIF1sf!K3</f>
        <v>43.2</v>
      </c>
      <c r="N3" s="2"/>
      <c r="O3" s="2"/>
      <c r="P3" s="2"/>
      <c r="Q3" s="2"/>
    </row>
    <row r="4" spans="1:17" x14ac:dyDescent="0.3">
      <c r="A4" s="13">
        <v>23</v>
      </c>
      <c r="B4" s="16">
        <f>0.8*CIF1sf!B4</f>
        <v>52</v>
      </c>
      <c r="C4" s="16">
        <f>0.8*CIF1sf!C4</f>
        <v>72</v>
      </c>
      <c r="D4" s="16">
        <f>0.8*CIF1sf!D4</f>
        <v>32.800000000000004</v>
      </c>
      <c r="E4" s="16">
        <f>0.8*CIF1sf!E4</f>
        <v>41.6</v>
      </c>
      <c r="F4" s="16">
        <f>0.8*CIF1sf!F4</f>
        <v>98.4</v>
      </c>
      <c r="G4" s="15">
        <f>0.8*CIF1sf!G4</f>
        <v>15.200000000000001</v>
      </c>
      <c r="H4" s="16">
        <f>0.8*CIF1sf!H4</f>
        <v>45.6</v>
      </c>
      <c r="I4" s="16">
        <f>0.8*CIF1sf!I4</f>
        <v>49.6</v>
      </c>
      <c r="J4" s="16">
        <f>0.8*CIF1sf!J4</f>
        <v>46.400000000000006</v>
      </c>
      <c r="K4" s="16">
        <f>0.8*CIF1sf!K4</f>
        <v>62.400000000000006</v>
      </c>
      <c r="N4" s="2"/>
      <c r="O4" s="2"/>
      <c r="P4" s="2"/>
      <c r="Q4" s="2"/>
    </row>
    <row r="5" spans="1:17" x14ac:dyDescent="0.3">
      <c r="A5" s="13">
        <v>24</v>
      </c>
      <c r="B5" s="16">
        <f>0.8*CIF1sf!B5</f>
        <v>35.200000000000003</v>
      </c>
      <c r="C5" s="16">
        <f>0.8*CIF1sf!C5</f>
        <v>48</v>
      </c>
      <c r="D5" s="16">
        <f>0.8*CIF1sf!D5</f>
        <v>29.6</v>
      </c>
      <c r="E5" s="16">
        <f>0.8*CIF1sf!E5</f>
        <v>51.2</v>
      </c>
      <c r="F5" s="16">
        <f>0.8*CIF1sf!F5</f>
        <v>65.600000000000009</v>
      </c>
      <c r="G5" s="16">
        <f>0.8*CIF1sf!G5</f>
        <v>62.400000000000006</v>
      </c>
      <c r="H5" s="16">
        <f>0.8*CIF1sf!H5</f>
        <v>31.200000000000003</v>
      </c>
      <c r="I5" s="15">
        <f>0.8*CIF1sf!I5</f>
        <v>9.6000000000000014</v>
      </c>
      <c r="J5" s="16">
        <f>0.8*CIF1sf!J5</f>
        <v>76</v>
      </c>
      <c r="K5" s="16">
        <f>0.8*CIF1sf!K5</f>
        <v>24.8</v>
      </c>
      <c r="N5" s="2"/>
      <c r="O5" s="2"/>
      <c r="P5" s="2"/>
      <c r="Q5" s="2"/>
    </row>
    <row r="6" spans="1:17" x14ac:dyDescent="0.3">
      <c r="A6" s="13">
        <v>25</v>
      </c>
      <c r="B6" s="16">
        <f>0.8*CIF1sf!B6</f>
        <v>48</v>
      </c>
      <c r="C6" s="16">
        <f>0.8*CIF1sf!C6</f>
        <v>65.600000000000009</v>
      </c>
      <c r="D6" s="16">
        <f>0.8*CIF1sf!D6</f>
        <v>29.6</v>
      </c>
      <c r="E6" s="16">
        <f>0.8*CIF1sf!E6</f>
        <v>62.400000000000006</v>
      </c>
      <c r="F6" s="16">
        <f>0.8*CIF1sf!F6</f>
        <v>89.600000000000009</v>
      </c>
      <c r="G6" s="16">
        <f>0.8*CIF1sf!G6</f>
        <v>44</v>
      </c>
      <c r="H6" s="16">
        <f>0.8*CIF1sf!H6</f>
        <v>42.400000000000006</v>
      </c>
      <c r="I6" s="16">
        <f>0.8*CIF1sf!I6</f>
        <v>36</v>
      </c>
      <c r="J6" s="15">
        <f>0.8*CIF1sf!J6</f>
        <v>16.8</v>
      </c>
      <c r="K6" s="16">
        <f>0.8*CIF1sf!K6</f>
        <v>100</v>
      </c>
      <c r="N6" s="2"/>
      <c r="O6" s="2"/>
      <c r="P6" s="2"/>
      <c r="Q6" s="2"/>
    </row>
    <row r="7" spans="1:17" x14ac:dyDescent="0.3">
      <c r="N7" s="2"/>
      <c r="O7" s="2"/>
      <c r="P7" s="2"/>
      <c r="Q7" s="2"/>
    </row>
    <row r="8" spans="1:17" x14ac:dyDescent="0.3">
      <c r="B8" s="12"/>
      <c r="C8" s="12"/>
      <c r="E8" s="12"/>
      <c r="G8" s="12"/>
      <c r="I8" s="12"/>
      <c r="K8" s="12"/>
      <c r="N8" s="2"/>
      <c r="O8" s="2"/>
      <c r="P8" s="2"/>
      <c r="Q8" s="2"/>
    </row>
    <row r="9" spans="1:17" x14ac:dyDescent="0.3">
      <c r="C9" s="12"/>
      <c r="E9" s="12"/>
      <c r="G9" s="12"/>
      <c r="I9" s="12"/>
      <c r="K9" s="12"/>
      <c r="N9" s="2"/>
      <c r="O9" s="2"/>
      <c r="P9" s="2"/>
      <c r="Q9" s="2"/>
    </row>
    <row r="10" spans="1:17" x14ac:dyDescent="0.3">
      <c r="C10" s="12"/>
      <c r="E10" s="12"/>
      <c r="I10" s="12"/>
      <c r="K10" s="12"/>
      <c r="N10" s="2"/>
      <c r="O10" s="2"/>
      <c r="P10" s="2"/>
      <c r="Q10" s="2"/>
    </row>
    <row r="11" spans="1:17" x14ac:dyDescent="0.3">
      <c r="C11" s="12"/>
      <c r="E11" s="12"/>
      <c r="G11" s="12"/>
      <c r="I11" s="12"/>
      <c r="K11" s="12"/>
      <c r="N11" s="2"/>
      <c r="O11" s="2"/>
      <c r="P11" s="2"/>
      <c r="Q11" s="2"/>
    </row>
    <row r="12" spans="1:17" x14ac:dyDescent="0.3">
      <c r="C12" s="12"/>
      <c r="E12" s="12"/>
      <c r="G12" s="12"/>
      <c r="I12" s="12"/>
      <c r="K12" s="12"/>
      <c r="N12" s="2"/>
      <c r="O12" s="2"/>
      <c r="P12" s="2"/>
      <c r="Q12" s="2"/>
    </row>
  </sheetData>
  <pageMargins left="0.7" right="0.7" top="0.78740157499999996" bottom="0.78740157499999996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/>
  </sheetPr>
  <dimension ref="A1:U16"/>
  <sheetViews>
    <sheetView workbookViewId="0">
      <selection activeCell="B13" sqref="B13"/>
    </sheetView>
  </sheetViews>
  <sheetFormatPr baseColWidth="10" defaultRowHeight="14.4" x14ac:dyDescent="0.3"/>
  <cols>
    <col min="1" max="1" width="11.5546875" style="14"/>
    <col min="2" max="21" width="8.77734375" style="2" customWidth="1"/>
    <col min="22" max="16384" width="11.5546875" style="2"/>
  </cols>
  <sheetData>
    <row r="1" spans="1:21" s="14" customFormat="1" x14ac:dyDescent="0.3">
      <c r="A1" s="14" t="s">
        <v>17</v>
      </c>
      <c r="B1" s="14">
        <v>1</v>
      </c>
      <c r="C1" s="14">
        <v>2</v>
      </c>
      <c r="D1" s="14">
        <v>3</v>
      </c>
      <c r="E1" s="14">
        <v>4</v>
      </c>
      <c r="F1" s="14">
        <v>5</v>
      </c>
      <c r="G1" s="14">
        <v>6</v>
      </c>
      <c r="H1" s="14">
        <v>7</v>
      </c>
      <c r="I1" s="14">
        <v>8</v>
      </c>
      <c r="J1" s="14">
        <v>9</v>
      </c>
      <c r="K1" s="14">
        <v>10</v>
      </c>
      <c r="L1" s="14">
        <v>11</v>
      </c>
      <c r="M1" s="14">
        <v>12</v>
      </c>
      <c r="N1" s="14">
        <v>13</v>
      </c>
      <c r="O1" s="14">
        <v>14</v>
      </c>
      <c r="P1" s="14">
        <v>15</v>
      </c>
      <c r="Q1" s="14">
        <v>16</v>
      </c>
      <c r="R1" s="14">
        <v>17</v>
      </c>
      <c r="S1" s="14">
        <v>18</v>
      </c>
      <c r="T1" s="14">
        <v>19</v>
      </c>
      <c r="U1" s="14">
        <v>20</v>
      </c>
    </row>
    <row r="2" spans="1:21" x14ac:dyDescent="0.3">
      <c r="A2" s="14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0.15</v>
      </c>
      <c r="N2" s="2">
        <v>0.4</v>
      </c>
      <c r="O2" s="2">
        <v>0.75</v>
      </c>
      <c r="P2" s="2">
        <v>0.35</v>
      </c>
      <c r="Q2" s="2">
        <v>0.55000000000000004</v>
      </c>
      <c r="R2" s="2">
        <v>0.7</v>
      </c>
      <c r="S2" s="2">
        <v>0.2</v>
      </c>
      <c r="T2" s="2">
        <v>0.8</v>
      </c>
      <c r="U2" s="2">
        <v>0.65</v>
      </c>
    </row>
    <row r="3" spans="1:21" x14ac:dyDescent="0.3">
      <c r="A3" s="14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0.05</v>
      </c>
      <c r="M3" s="2">
        <v>0</v>
      </c>
      <c r="N3" s="2">
        <v>0.4</v>
      </c>
      <c r="O3" s="2">
        <v>0.75</v>
      </c>
      <c r="P3" s="2">
        <v>0.35</v>
      </c>
      <c r="Q3" s="2">
        <v>0.55000000000000004</v>
      </c>
      <c r="R3" s="2">
        <v>0.7</v>
      </c>
      <c r="S3" s="2">
        <v>0.2</v>
      </c>
      <c r="T3" s="2">
        <v>0.8</v>
      </c>
      <c r="U3" s="2">
        <v>0.65</v>
      </c>
    </row>
    <row r="4" spans="1:21" x14ac:dyDescent="0.3">
      <c r="A4" s="1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0.05</v>
      </c>
      <c r="M4" s="2">
        <v>0.15</v>
      </c>
      <c r="N4" s="2">
        <v>0</v>
      </c>
      <c r="O4" s="2">
        <v>0.75</v>
      </c>
      <c r="P4" s="2">
        <v>0.35</v>
      </c>
      <c r="Q4" s="2">
        <v>0.55000000000000004</v>
      </c>
      <c r="R4" s="2">
        <v>0.7</v>
      </c>
      <c r="S4" s="2">
        <v>0.2</v>
      </c>
      <c r="T4" s="2">
        <v>0.8</v>
      </c>
      <c r="U4" s="2">
        <v>0.65</v>
      </c>
    </row>
    <row r="5" spans="1:21" x14ac:dyDescent="0.3">
      <c r="A5" s="14">
        <v>4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  <c r="I5" s="2">
        <v>0</v>
      </c>
      <c r="J5" s="2">
        <v>0</v>
      </c>
      <c r="K5" s="2">
        <v>0</v>
      </c>
      <c r="L5" s="2">
        <v>0.05</v>
      </c>
      <c r="M5" s="2">
        <v>0.15</v>
      </c>
      <c r="N5" s="2">
        <v>0.4</v>
      </c>
      <c r="O5" s="2">
        <v>0</v>
      </c>
      <c r="P5" s="2">
        <v>0.35</v>
      </c>
      <c r="Q5" s="2">
        <v>0.55000000000000004</v>
      </c>
      <c r="R5" s="2">
        <v>0.7</v>
      </c>
      <c r="S5" s="2">
        <v>0.2</v>
      </c>
      <c r="T5" s="2">
        <v>0.8</v>
      </c>
      <c r="U5" s="2">
        <v>0.65</v>
      </c>
    </row>
    <row r="6" spans="1:21" x14ac:dyDescent="0.3">
      <c r="A6" s="14">
        <v>5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  <c r="I6" s="2">
        <v>0</v>
      </c>
      <c r="J6" s="2">
        <v>0</v>
      </c>
      <c r="K6" s="2">
        <v>0</v>
      </c>
      <c r="L6" s="2">
        <v>0.05</v>
      </c>
      <c r="M6" s="2">
        <v>0.15</v>
      </c>
      <c r="N6" s="2">
        <v>0.4</v>
      </c>
      <c r="O6" s="2">
        <v>0.75</v>
      </c>
      <c r="P6" s="2">
        <v>0</v>
      </c>
      <c r="Q6" s="2">
        <v>0.55000000000000004</v>
      </c>
      <c r="R6" s="2">
        <v>0.7</v>
      </c>
      <c r="S6" s="2">
        <v>0.2</v>
      </c>
      <c r="T6" s="2">
        <v>0.8</v>
      </c>
      <c r="U6" s="2">
        <v>0.65</v>
      </c>
    </row>
    <row r="7" spans="1:21" x14ac:dyDescent="0.3">
      <c r="A7" s="14">
        <v>6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  <c r="I7" s="2">
        <v>0</v>
      </c>
      <c r="J7" s="2">
        <v>0</v>
      </c>
      <c r="K7" s="2">
        <v>0</v>
      </c>
      <c r="L7" s="2">
        <v>0.05</v>
      </c>
      <c r="M7" s="2">
        <v>0.15</v>
      </c>
      <c r="N7" s="2">
        <v>0.4</v>
      </c>
      <c r="O7" s="2">
        <v>0.75</v>
      </c>
      <c r="P7" s="2">
        <v>0.35</v>
      </c>
      <c r="Q7" s="2">
        <v>0</v>
      </c>
      <c r="R7" s="2">
        <v>0.7</v>
      </c>
      <c r="S7" s="2">
        <v>0.2</v>
      </c>
      <c r="T7" s="2">
        <v>0.8</v>
      </c>
      <c r="U7" s="2">
        <v>0.65</v>
      </c>
    </row>
    <row r="8" spans="1:21" x14ac:dyDescent="0.3">
      <c r="A8" s="14">
        <v>7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  <c r="I8" s="2">
        <v>0</v>
      </c>
      <c r="J8" s="2">
        <v>0</v>
      </c>
      <c r="K8" s="2">
        <v>0</v>
      </c>
      <c r="L8" s="2">
        <v>0.05</v>
      </c>
      <c r="M8" s="2">
        <v>0.15</v>
      </c>
      <c r="N8" s="2">
        <v>0.4</v>
      </c>
      <c r="O8" s="2">
        <v>0.75</v>
      </c>
      <c r="P8" s="2">
        <v>0.35</v>
      </c>
      <c r="Q8" s="2">
        <v>0.55000000000000004</v>
      </c>
      <c r="R8" s="2">
        <v>0</v>
      </c>
      <c r="S8" s="2">
        <v>0.2</v>
      </c>
      <c r="T8" s="2">
        <v>0.8</v>
      </c>
      <c r="U8" s="2">
        <v>0.65</v>
      </c>
    </row>
    <row r="9" spans="1:21" x14ac:dyDescent="0.3">
      <c r="A9" s="14">
        <v>8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  <c r="I9" s="2">
        <v>0</v>
      </c>
      <c r="J9" s="2">
        <v>0</v>
      </c>
      <c r="K9" s="2">
        <v>0</v>
      </c>
      <c r="L9" s="2">
        <v>0.05</v>
      </c>
      <c r="M9" s="2">
        <v>0.15</v>
      </c>
      <c r="N9" s="2">
        <v>0.4</v>
      </c>
      <c r="O9" s="2">
        <v>0.75</v>
      </c>
      <c r="P9" s="2">
        <v>0.35</v>
      </c>
      <c r="Q9" s="2">
        <v>0.55000000000000004</v>
      </c>
      <c r="R9" s="2">
        <v>0.7</v>
      </c>
      <c r="S9" s="2">
        <v>0</v>
      </c>
      <c r="T9" s="2">
        <v>0.8</v>
      </c>
      <c r="U9" s="2">
        <v>0.65</v>
      </c>
    </row>
    <row r="10" spans="1:21" x14ac:dyDescent="0.3">
      <c r="A10" s="14">
        <v>9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  <c r="I10" s="2">
        <v>0</v>
      </c>
      <c r="J10" s="2">
        <v>0</v>
      </c>
      <c r="K10" s="2">
        <v>0</v>
      </c>
      <c r="L10" s="2">
        <v>0.05</v>
      </c>
      <c r="M10" s="2">
        <v>0.15</v>
      </c>
      <c r="N10" s="2">
        <v>0.4</v>
      </c>
      <c r="O10" s="2">
        <v>0.75</v>
      </c>
      <c r="P10" s="2">
        <v>0.35</v>
      </c>
      <c r="Q10" s="2">
        <v>0.55000000000000004</v>
      </c>
      <c r="R10" s="2">
        <v>0.7</v>
      </c>
      <c r="S10" s="2">
        <v>0.2</v>
      </c>
      <c r="T10" s="2">
        <v>0</v>
      </c>
      <c r="U10" s="2">
        <v>0.65</v>
      </c>
    </row>
    <row r="11" spans="1:21" x14ac:dyDescent="0.3">
      <c r="A11" s="14">
        <v>10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  <c r="I11" s="2">
        <v>0</v>
      </c>
      <c r="J11" s="2">
        <v>0</v>
      </c>
      <c r="K11" s="2">
        <v>0</v>
      </c>
      <c r="L11" s="2">
        <v>0.05</v>
      </c>
      <c r="M11" s="2">
        <v>0.15</v>
      </c>
      <c r="N11" s="2">
        <v>0.4</v>
      </c>
      <c r="O11" s="2">
        <v>0.75</v>
      </c>
      <c r="P11" s="2">
        <v>0.35</v>
      </c>
      <c r="Q11" s="2">
        <v>0.55000000000000004</v>
      </c>
      <c r="R11" s="2">
        <v>0.7</v>
      </c>
      <c r="S11" s="2">
        <v>0.2</v>
      </c>
      <c r="T11" s="2">
        <v>0.8</v>
      </c>
      <c r="U11" s="2">
        <v>0.65</v>
      </c>
    </row>
    <row r="12" spans="1:21" x14ac:dyDescent="0.3">
      <c r="A12" s="14">
        <v>21</v>
      </c>
      <c r="B12" s="2">
        <v>0</v>
      </c>
      <c r="C12" s="2">
        <v>0.15</v>
      </c>
      <c r="D12" s="2">
        <v>0.4</v>
      </c>
      <c r="E12" s="2">
        <v>0.75</v>
      </c>
      <c r="F12" s="2">
        <v>0.35</v>
      </c>
      <c r="G12" s="2">
        <v>0.55000000000000004</v>
      </c>
      <c r="H12" s="2">
        <v>0.7</v>
      </c>
      <c r="I12" s="2">
        <v>0.2</v>
      </c>
      <c r="J12" s="2">
        <v>0.8</v>
      </c>
      <c r="K12" s="2">
        <v>0.65</v>
      </c>
      <c r="L12" s="2">
        <v>0</v>
      </c>
      <c r="M12" s="2">
        <v>0.15</v>
      </c>
      <c r="N12" s="2">
        <v>0.4</v>
      </c>
      <c r="O12" s="2">
        <v>0.75</v>
      </c>
      <c r="P12" s="2">
        <v>0.35</v>
      </c>
      <c r="Q12" s="2">
        <v>0.55000000000000004</v>
      </c>
      <c r="R12" s="2">
        <v>0.7</v>
      </c>
      <c r="S12" s="2">
        <v>0.2</v>
      </c>
      <c r="T12" s="2">
        <v>0.8</v>
      </c>
      <c r="U12" s="2">
        <v>0.65</v>
      </c>
    </row>
    <row r="13" spans="1:21" x14ac:dyDescent="0.3">
      <c r="A13" s="14">
        <v>22</v>
      </c>
      <c r="B13" s="2">
        <v>0.05</v>
      </c>
      <c r="C13" s="2">
        <v>0.15</v>
      </c>
      <c r="D13" s="2">
        <v>0.4</v>
      </c>
      <c r="E13" s="2">
        <v>0</v>
      </c>
      <c r="F13" s="2">
        <v>0.35</v>
      </c>
      <c r="G13" s="2">
        <v>0.55000000000000004</v>
      </c>
      <c r="H13" s="2">
        <v>0.7</v>
      </c>
      <c r="I13" s="2">
        <v>0.2</v>
      </c>
      <c r="J13" s="2">
        <v>0.8</v>
      </c>
      <c r="K13" s="2">
        <v>0.65</v>
      </c>
      <c r="L13" s="2">
        <v>0.05</v>
      </c>
      <c r="M13" s="2">
        <v>0.15</v>
      </c>
      <c r="N13" s="2">
        <v>0.4</v>
      </c>
      <c r="O13" s="2">
        <v>0</v>
      </c>
      <c r="P13" s="2">
        <v>0.35</v>
      </c>
      <c r="Q13" s="2">
        <v>0.55000000000000004</v>
      </c>
      <c r="R13" s="2">
        <v>0.7</v>
      </c>
      <c r="S13" s="2">
        <v>0.2</v>
      </c>
      <c r="T13" s="2">
        <v>0.8</v>
      </c>
      <c r="U13" s="2">
        <v>0.65</v>
      </c>
    </row>
    <row r="14" spans="1:21" x14ac:dyDescent="0.3">
      <c r="A14" s="14">
        <v>23</v>
      </c>
      <c r="B14" s="2">
        <v>0.05</v>
      </c>
      <c r="C14" s="2">
        <v>0.15</v>
      </c>
      <c r="D14" s="2">
        <v>0.4</v>
      </c>
      <c r="E14" s="2">
        <v>0.75</v>
      </c>
      <c r="F14" s="2">
        <v>0.35</v>
      </c>
      <c r="G14" s="2">
        <v>0</v>
      </c>
      <c r="H14" s="2">
        <v>0.7</v>
      </c>
      <c r="I14" s="2">
        <v>0.2</v>
      </c>
      <c r="J14" s="2">
        <v>0.8</v>
      </c>
      <c r="K14" s="2">
        <v>0.65</v>
      </c>
      <c r="L14" s="2">
        <v>0.05</v>
      </c>
      <c r="M14" s="2">
        <v>0.15</v>
      </c>
      <c r="N14" s="2">
        <v>0.4</v>
      </c>
      <c r="O14" s="2">
        <v>0.75</v>
      </c>
      <c r="P14" s="2">
        <v>0.35</v>
      </c>
      <c r="Q14" s="2">
        <v>0</v>
      </c>
      <c r="R14" s="2">
        <v>0.7</v>
      </c>
      <c r="S14" s="2">
        <v>0.2</v>
      </c>
      <c r="T14" s="2">
        <v>0.8</v>
      </c>
      <c r="U14" s="2">
        <v>0.65</v>
      </c>
    </row>
    <row r="15" spans="1:21" x14ac:dyDescent="0.3">
      <c r="A15" s="14">
        <v>24</v>
      </c>
      <c r="B15" s="2">
        <v>0.05</v>
      </c>
      <c r="C15" s="2">
        <v>0.15</v>
      </c>
      <c r="D15" s="2">
        <v>0.4</v>
      </c>
      <c r="E15" s="2">
        <v>0.75</v>
      </c>
      <c r="F15" s="2">
        <v>0.35</v>
      </c>
      <c r="G15" s="2">
        <v>0.55000000000000004</v>
      </c>
      <c r="H15" s="2">
        <v>0.7</v>
      </c>
      <c r="I15" s="2">
        <v>0</v>
      </c>
      <c r="J15" s="2">
        <v>0.8</v>
      </c>
      <c r="K15" s="2">
        <v>0.65</v>
      </c>
      <c r="L15" s="2">
        <v>0.05</v>
      </c>
      <c r="M15" s="2">
        <v>0.15</v>
      </c>
      <c r="N15" s="2">
        <v>0.4</v>
      </c>
      <c r="O15" s="2">
        <v>0.75</v>
      </c>
      <c r="P15" s="2">
        <v>0.35</v>
      </c>
      <c r="Q15" s="2">
        <v>0.55000000000000004</v>
      </c>
      <c r="R15" s="2">
        <v>0.7</v>
      </c>
      <c r="S15" s="2">
        <v>0</v>
      </c>
      <c r="T15" s="2">
        <v>0.8</v>
      </c>
      <c r="U15" s="2">
        <v>0.65</v>
      </c>
    </row>
    <row r="16" spans="1:21" x14ac:dyDescent="0.3">
      <c r="A16" s="14">
        <v>25</v>
      </c>
      <c r="B16" s="2">
        <v>0.05</v>
      </c>
      <c r="C16" s="2">
        <v>0.15</v>
      </c>
      <c r="D16" s="2">
        <v>0.4</v>
      </c>
      <c r="E16" s="2">
        <v>0.75</v>
      </c>
      <c r="F16" s="2">
        <v>0.35</v>
      </c>
      <c r="G16" s="2">
        <v>0.55000000000000004</v>
      </c>
      <c r="H16" s="2">
        <v>0.7</v>
      </c>
      <c r="I16" s="2">
        <v>0.2</v>
      </c>
      <c r="J16" s="2">
        <v>0</v>
      </c>
      <c r="K16" s="2">
        <v>0.65</v>
      </c>
      <c r="L16" s="2">
        <v>0.05</v>
      </c>
      <c r="M16" s="2">
        <v>0.15</v>
      </c>
      <c r="N16" s="2">
        <v>0.4</v>
      </c>
      <c r="O16" s="2">
        <v>0.75</v>
      </c>
      <c r="P16" s="2">
        <v>0.35</v>
      </c>
      <c r="Q16" s="2">
        <v>0.55000000000000004</v>
      </c>
      <c r="R16" s="2">
        <v>0.7</v>
      </c>
      <c r="S16" s="2">
        <v>0.2</v>
      </c>
      <c r="T16" s="2">
        <v>0</v>
      </c>
      <c r="U16" s="2">
        <v>0.65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20</vt:i4>
      </vt:variant>
    </vt:vector>
  </HeadingPairs>
  <TitlesOfParts>
    <vt:vector size="20" baseType="lpstr">
      <vt:lpstr>DataTiming</vt:lpstr>
      <vt:lpstr>F</vt:lpstr>
      <vt:lpstr>F in N</vt:lpstr>
      <vt:lpstr>IMf</vt:lpstr>
      <vt:lpstr>OMf</vt:lpstr>
      <vt:lpstr>Const.</vt:lpstr>
      <vt:lpstr>TRn</vt:lpstr>
      <vt:lpstr>MassBalance</vt:lpstr>
      <vt:lpstr>DataF</vt:lpstr>
      <vt:lpstr>Dict (i=8)</vt:lpstr>
      <vt:lpstr>Sis</vt:lpstr>
      <vt:lpstr>Pif</vt:lpstr>
      <vt:lpstr>CIF1sf</vt:lpstr>
      <vt:lpstr>CIF2sf</vt:lpstr>
      <vt:lpstr>CIF3sf</vt:lpstr>
      <vt:lpstr>CIF4sf</vt:lpstr>
      <vt:lpstr>CIF5sf</vt:lpstr>
      <vt:lpstr>CIF6sf</vt:lpstr>
      <vt:lpstr>CIF7sf</vt:lpstr>
      <vt:lpstr>IDisf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Sarah</dc:creator>
  <cp:lastModifiedBy>Sarah</cp:lastModifiedBy>
  <dcterms:created xsi:type="dcterms:W3CDTF">2017-10-31T13:49:41Z</dcterms:created>
  <dcterms:modified xsi:type="dcterms:W3CDTF">2017-11-02T12:04:09Z</dcterms:modified>
</cp:coreProperties>
</file>