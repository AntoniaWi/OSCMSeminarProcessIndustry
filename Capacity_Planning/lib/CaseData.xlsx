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ah\Documents\GitHub\OSCMSeminarProcessIndustry\Capacity_Planning\lib\"/>
    </mc:Choice>
  </mc:AlternateContent>
  <bookViews>
    <workbookView xWindow="0" yWindow="0" windowWidth="23040" windowHeight="9096" activeTab="3"/>
  </bookViews>
  <sheets>
    <sheet name="Capacity" sheetId="1" r:id="rId1"/>
    <sheet name="Purchase Price from Supplier" sheetId="6" r:id="rId2"/>
    <sheet name="CIF from Supplier M1" sheetId="8" r:id="rId3"/>
    <sheet name="CIF from Supplier M2" sheetId="9" r:id="rId4"/>
    <sheet name="Demand" sheetId="5" r:id="rId5"/>
    <sheet name="Nations" sheetId="4" r:id="rId6"/>
    <sheet name="Constant" sheetId="3" r:id="rId7"/>
    <sheet name="Timing Model" sheetId="2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9" l="1"/>
  <c r="F6" i="8"/>
  <c r="G5" i="8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C8" i="8"/>
  <c r="C7" i="8"/>
  <c r="G3" i="1"/>
  <c r="G4" i="1"/>
  <c r="G12" i="1"/>
  <c r="G6" i="1"/>
  <c r="G13" i="1"/>
  <c r="G8" i="1"/>
  <c r="G14" i="1"/>
  <c r="G15" i="1"/>
  <c r="G18" i="1"/>
  <c r="G5" i="1"/>
  <c r="G7" i="1"/>
  <c r="G9" i="1"/>
  <c r="G10" i="1"/>
  <c r="G11" i="1"/>
  <c r="G16" i="1"/>
  <c r="G17" i="1"/>
  <c r="G19" i="1"/>
  <c r="G20" i="1"/>
  <c r="G21" i="1"/>
  <c r="G2" i="1"/>
  <c r="Q6" i="8" l="1"/>
  <c r="E6" i="8"/>
  <c r="T6" i="8"/>
  <c r="P6" i="8"/>
  <c r="L6" i="8"/>
  <c r="H6" i="8"/>
  <c r="D6" i="8"/>
  <c r="U6" i="8"/>
  <c r="M6" i="8"/>
  <c r="C6" i="8"/>
  <c r="S6" i="8"/>
  <c r="O6" i="8"/>
  <c r="K6" i="8"/>
  <c r="G6" i="8"/>
  <c r="I6" i="8"/>
  <c r="V6" i="8"/>
  <c r="R6" i="8"/>
  <c r="N6" i="8"/>
  <c r="J6" i="8"/>
  <c r="N5" i="8"/>
  <c r="J5" i="8"/>
  <c r="U5" i="8"/>
  <c r="Q5" i="8"/>
  <c r="M5" i="8"/>
  <c r="I5" i="8"/>
  <c r="E5" i="8"/>
  <c r="R5" i="8"/>
  <c r="F5" i="8"/>
  <c r="T5" i="8"/>
  <c r="P5" i="8"/>
  <c r="L5" i="8"/>
  <c r="H5" i="8"/>
  <c r="D5" i="8"/>
  <c r="V5" i="8"/>
  <c r="C5" i="8"/>
  <c r="S5" i="8"/>
  <c r="O5" i="8"/>
  <c r="K5" i="8"/>
  <c r="Q4" i="8"/>
  <c r="I4" i="8"/>
  <c r="E4" i="8"/>
  <c r="T4" i="8"/>
  <c r="P4" i="8"/>
  <c r="L4" i="8"/>
  <c r="H4" i="8"/>
  <c r="D4" i="8"/>
  <c r="S4" i="8"/>
  <c r="O4" i="8"/>
  <c r="K4" i="8"/>
  <c r="G4" i="8"/>
  <c r="C4" i="8"/>
  <c r="U4" i="8"/>
  <c r="M4" i="8"/>
  <c r="V4" i="8"/>
  <c r="R4" i="8"/>
  <c r="N4" i="8"/>
  <c r="J4" i="8"/>
  <c r="F4" i="8"/>
  <c r="C4" i="9"/>
  <c r="K4" i="9"/>
  <c r="S4" i="9"/>
  <c r="D4" i="9"/>
  <c r="L4" i="9"/>
  <c r="P4" i="9"/>
  <c r="E4" i="9"/>
  <c r="I4" i="9"/>
  <c r="M4" i="9"/>
  <c r="Q4" i="9"/>
  <c r="U4" i="9"/>
  <c r="G4" i="9"/>
  <c r="O4" i="9"/>
  <c r="H4" i="9"/>
  <c r="T4" i="9"/>
  <c r="F4" i="9"/>
  <c r="J4" i="9"/>
  <c r="N4" i="9"/>
  <c r="R4" i="9"/>
</calcChain>
</file>

<file path=xl/sharedStrings.xml><?xml version="1.0" encoding="utf-8"?>
<sst xmlns="http://schemas.openxmlformats.org/spreadsheetml/2006/main" count="30" uniqueCount="23">
  <si>
    <t>facility f</t>
  </si>
  <si>
    <t>initial cap. Qf0</t>
  </si>
  <si>
    <t>max cap. Quf</t>
  </si>
  <si>
    <t>min expansion qLf</t>
  </si>
  <si>
    <t>min production XLf</t>
  </si>
  <si>
    <t>Production days per year</t>
  </si>
  <si>
    <t>MCfp</t>
  </si>
  <si>
    <t>MCfs</t>
  </si>
  <si>
    <t>Nation n</t>
  </si>
  <si>
    <t>Customer c</t>
  </si>
  <si>
    <t>Supplier s</t>
  </si>
  <si>
    <t>corporate tax TRn</t>
  </si>
  <si>
    <t>M1</t>
  </si>
  <si>
    <t>Material i</t>
  </si>
  <si>
    <t>Purchase price Pigf for all f</t>
  </si>
  <si>
    <t>Demand M8 Monpoly</t>
  </si>
  <si>
    <t>Demand M8 Regular Market</t>
  </si>
  <si>
    <t>Kommentar:</t>
  </si>
  <si>
    <t>Max Demand im Monopol =50, teilt sich auf Customer zu Prozentanteilen auf, im Regular Markt gehen Bedarf unterschiedlich zurück, je nach Stärke der Wettbewerber</t>
  </si>
  <si>
    <t>Purchase Cost for M5</t>
  </si>
  <si>
    <t>supplier s</t>
  </si>
  <si>
    <t>Basic Charge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</si>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</sst>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I19" sqref="I19"/>
    </sheetView>
  </sheetViews>
  <sheetFormatPr baseColWidth="10" defaultRowHeight="14.4" x14ac:dyDescent="0.3"/>
  <cols>
    <col min="2" max="2" width="12.77734375" bestFit="1" customWidth="1"/>
    <col min="4" max="5" width="16.44140625" bestFit="1" customWidth="1"/>
    <col min="10" max="10" width="8" bestFit="1" customWidth="1"/>
    <col min="11" max="11" width="10.21875" bestFit="1" customWidth="1"/>
    <col min="12" max="12" width="8.6640625" bestFit="1" customWidth="1"/>
    <col min="13" max="13" width="15.6640625" bestFit="1" customWidth="1"/>
    <col min="15" max="15" width="14.88671875" bestFit="1" customWidth="1"/>
    <col min="16" max="16" width="15.44140625" bestFit="1" customWidth="1"/>
    <col min="17" max="17" width="20.77734375" bestFit="1" customWidth="1"/>
    <col min="19" max="19" width="13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</row>
    <row r="2" spans="1:8" x14ac:dyDescent="0.3">
      <c r="A2">
        <v>1</v>
      </c>
      <c r="B2">
        <v>90</v>
      </c>
      <c r="C2">
        <v>150</v>
      </c>
      <c r="D2">
        <v>25</v>
      </c>
      <c r="E2">
        <v>30</v>
      </c>
      <c r="F2">
        <v>0.58099999999999996</v>
      </c>
      <c r="G2">
        <f>0.6*F2</f>
        <v>0.34859999999999997</v>
      </c>
      <c r="H2">
        <v>1</v>
      </c>
    </row>
    <row r="3" spans="1:8" x14ac:dyDescent="0.3">
      <c r="A3">
        <v>2</v>
      </c>
      <c r="B3">
        <v>81</v>
      </c>
      <c r="C3">
        <v>140</v>
      </c>
      <c r="D3">
        <v>25</v>
      </c>
      <c r="E3">
        <v>30</v>
      </c>
      <c r="F3">
        <v>0.68700000000000006</v>
      </c>
      <c r="G3">
        <f t="shared" ref="G3:G21" si="0">0.6*F3</f>
        <v>0.41220000000000001</v>
      </c>
      <c r="H3">
        <v>1</v>
      </c>
    </row>
    <row r="4" spans="1:8" x14ac:dyDescent="0.3">
      <c r="A4">
        <v>3</v>
      </c>
      <c r="B4">
        <v>30</v>
      </c>
      <c r="C4">
        <v>80</v>
      </c>
      <c r="D4">
        <v>25</v>
      </c>
      <c r="E4">
        <v>20</v>
      </c>
      <c r="F4">
        <v>0.72</v>
      </c>
      <c r="G4">
        <f t="shared" si="0"/>
        <v>0.432</v>
      </c>
      <c r="H4">
        <v>2</v>
      </c>
    </row>
    <row r="5" spans="1:8" x14ac:dyDescent="0.3">
      <c r="A5">
        <v>4</v>
      </c>
      <c r="B5">
        <v>0</v>
      </c>
      <c r="C5">
        <v>85</v>
      </c>
      <c r="D5">
        <v>25</v>
      </c>
      <c r="E5">
        <v>25</v>
      </c>
      <c r="F5">
        <v>0.68700000000000006</v>
      </c>
      <c r="G5">
        <f>0.6*F5</f>
        <v>0.41220000000000001</v>
      </c>
      <c r="H5">
        <v>2</v>
      </c>
    </row>
    <row r="6" spans="1:8" x14ac:dyDescent="0.3">
      <c r="A6">
        <v>5</v>
      </c>
      <c r="B6">
        <v>30</v>
      </c>
      <c r="C6">
        <v>90</v>
      </c>
      <c r="D6">
        <v>25</v>
      </c>
      <c r="E6">
        <v>30</v>
      </c>
      <c r="F6">
        <v>0.95599999999999996</v>
      </c>
      <c r="G6">
        <f t="shared" si="0"/>
        <v>0.5736</v>
      </c>
      <c r="H6">
        <v>3</v>
      </c>
    </row>
    <row r="7" spans="1:8" x14ac:dyDescent="0.3">
      <c r="A7">
        <v>6</v>
      </c>
      <c r="B7">
        <v>0</v>
      </c>
      <c r="C7">
        <v>120</v>
      </c>
      <c r="D7">
        <v>25</v>
      </c>
      <c r="E7">
        <v>25</v>
      </c>
      <c r="F7">
        <v>1.113</v>
      </c>
      <c r="G7">
        <f>0.6*F7</f>
        <v>0.66779999999999995</v>
      </c>
      <c r="H7">
        <v>3</v>
      </c>
    </row>
    <row r="8" spans="1:8" x14ac:dyDescent="0.3">
      <c r="A8">
        <v>7</v>
      </c>
      <c r="B8">
        <v>30</v>
      </c>
      <c r="C8">
        <v>150</v>
      </c>
      <c r="D8">
        <v>30</v>
      </c>
      <c r="E8">
        <v>30</v>
      </c>
      <c r="F8">
        <v>1.113</v>
      </c>
      <c r="G8">
        <f t="shared" si="0"/>
        <v>0.66779999999999995</v>
      </c>
      <c r="H8">
        <v>4</v>
      </c>
    </row>
    <row r="9" spans="1:8" x14ac:dyDescent="0.3">
      <c r="A9">
        <v>8</v>
      </c>
      <c r="B9">
        <v>0</v>
      </c>
      <c r="C9">
        <v>80</v>
      </c>
      <c r="D9">
        <v>30</v>
      </c>
      <c r="E9">
        <v>30</v>
      </c>
      <c r="F9">
        <v>1.0249999999999999</v>
      </c>
      <c r="G9">
        <f>0.6*F9</f>
        <v>0.61499999999999988</v>
      </c>
      <c r="H9">
        <v>4</v>
      </c>
    </row>
    <row r="10" spans="1:8" x14ac:dyDescent="0.3">
      <c r="A10">
        <v>9</v>
      </c>
      <c r="B10">
        <v>0</v>
      </c>
      <c r="C10">
        <v>100</v>
      </c>
      <c r="D10">
        <v>20</v>
      </c>
      <c r="E10">
        <v>15</v>
      </c>
      <c r="F10">
        <v>1.0249999999999999</v>
      </c>
      <c r="G10">
        <f>0.6*F10</f>
        <v>0.61499999999999988</v>
      </c>
      <c r="H10">
        <v>5</v>
      </c>
    </row>
    <row r="11" spans="1:8" x14ac:dyDescent="0.3">
      <c r="A11">
        <v>10</v>
      </c>
      <c r="B11">
        <v>0</v>
      </c>
      <c r="C11">
        <v>70</v>
      </c>
      <c r="D11">
        <v>25</v>
      </c>
      <c r="E11">
        <v>10</v>
      </c>
      <c r="F11">
        <v>0.82499999999999996</v>
      </c>
      <c r="G11">
        <f>0.6*F11</f>
        <v>0.49499999999999994</v>
      </c>
      <c r="H11">
        <v>5</v>
      </c>
    </row>
    <row r="12" spans="1:8" x14ac:dyDescent="0.3">
      <c r="A12">
        <v>11</v>
      </c>
      <c r="B12">
        <v>25</v>
      </c>
      <c r="C12">
        <v>100</v>
      </c>
      <c r="D12">
        <v>25</v>
      </c>
      <c r="E12">
        <v>15</v>
      </c>
      <c r="F12">
        <v>0.57999999999999996</v>
      </c>
      <c r="G12">
        <f>0.6*F12</f>
        <v>0.34799999999999998</v>
      </c>
      <c r="H12">
        <v>6</v>
      </c>
    </row>
    <row r="13" spans="1:8" x14ac:dyDescent="0.3">
      <c r="A13">
        <v>12</v>
      </c>
      <c r="B13">
        <v>25</v>
      </c>
      <c r="C13">
        <v>80</v>
      </c>
      <c r="D13">
        <v>20</v>
      </c>
      <c r="E13">
        <v>25</v>
      </c>
      <c r="F13">
        <v>0.95599999999999996</v>
      </c>
      <c r="G13">
        <f>0.6*F13</f>
        <v>0.5736</v>
      </c>
      <c r="H13">
        <v>6</v>
      </c>
    </row>
    <row r="14" spans="1:8" x14ac:dyDescent="0.3">
      <c r="A14">
        <v>13</v>
      </c>
      <c r="B14">
        <v>40</v>
      </c>
      <c r="C14">
        <v>90</v>
      </c>
      <c r="D14">
        <v>25</v>
      </c>
      <c r="E14">
        <v>25</v>
      </c>
      <c r="F14">
        <v>0.57999999999999996</v>
      </c>
      <c r="G14">
        <f>0.6*F14</f>
        <v>0.34799999999999998</v>
      </c>
      <c r="H14">
        <v>7</v>
      </c>
    </row>
    <row r="15" spans="1:8" x14ac:dyDescent="0.3">
      <c r="A15">
        <v>14</v>
      </c>
      <c r="B15">
        <v>45</v>
      </c>
      <c r="C15">
        <v>120</v>
      </c>
      <c r="D15">
        <v>20</v>
      </c>
      <c r="E15">
        <v>15</v>
      </c>
      <c r="F15">
        <v>0.82499999999999996</v>
      </c>
      <c r="G15">
        <f>0.6*F15</f>
        <v>0.49499999999999994</v>
      </c>
      <c r="H15">
        <v>7</v>
      </c>
    </row>
    <row r="16" spans="1:8" x14ac:dyDescent="0.3">
      <c r="A16">
        <v>15</v>
      </c>
      <c r="B16">
        <v>0</v>
      </c>
      <c r="C16">
        <v>120</v>
      </c>
      <c r="D16">
        <v>20</v>
      </c>
      <c r="E16">
        <v>30</v>
      </c>
      <c r="F16">
        <v>0.91500000000000004</v>
      </c>
      <c r="G16">
        <f>0.6*F16</f>
        <v>0.54900000000000004</v>
      </c>
      <c r="H16">
        <v>8</v>
      </c>
    </row>
    <row r="17" spans="1:8" x14ac:dyDescent="0.3">
      <c r="A17">
        <v>16</v>
      </c>
      <c r="B17">
        <v>0</v>
      </c>
      <c r="C17">
        <v>90</v>
      </c>
      <c r="D17">
        <v>20</v>
      </c>
      <c r="E17">
        <v>20</v>
      </c>
      <c r="F17">
        <v>0.72</v>
      </c>
      <c r="G17">
        <f>0.6*F17</f>
        <v>0.432</v>
      </c>
      <c r="H17">
        <v>8</v>
      </c>
    </row>
    <row r="18" spans="1:8" x14ac:dyDescent="0.3">
      <c r="A18">
        <v>17</v>
      </c>
      <c r="B18">
        <v>60</v>
      </c>
      <c r="C18">
        <v>120</v>
      </c>
      <c r="D18">
        <v>30</v>
      </c>
      <c r="E18">
        <v>20</v>
      </c>
      <c r="F18">
        <v>0.58099999999999996</v>
      </c>
      <c r="G18">
        <f>0.6*F18</f>
        <v>0.34859999999999997</v>
      </c>
      <c r="H18">
        <v>9</v>
      </c>
    </row>
    <row r="19" spans="1:8" x14ac:dyDescent="0.3">
      <c r="A19">
        <v>18</v>
      </c>
      <c r="B19">
        <v>0</v>
      </c>
      <c r="C19">
        <v>50</v>
      </c>
      <c r="D19">
        <v>25</v>
      </c>
      <c r="E19">
        <v>25</v>
      </c>
      <c r="F19">
        <v>0.91500000000000004</v>
      </c>
      <c r="G19">
        <f t="shared" si="0"/>
        <v>0.54900000000000004</v>
      </c>
      <c r="H19">
        <v>9</v>
      </c>
    </row>
    <row r="20" spans="1:8" x14ac:dyDescent="0.3">
      <c r="A20">
        <v>19</v>
      </c>
      <c r="B20">
        <v>0</v>
      </c>
      <c r="C20">
        <v>60</v>
      </c>
      <c r="D20">
        <v>30</v>
      </c>
      <c r="E20">
        <v>15</v>
      </c>
      <c r="F20">
        <v>0.68500000000000005</v>
      </c>
      <c r="G20">
        <f t="shared" si="0"/>
        <v>0.41100000000000003</v>
      </c>
      <c r="H20">
        <v>10</v>
      </c>
    </row>
    <row r="21" spans="1:8" x14ac:dyDescent="0.3">
      <c r="A21">
        <v>20</v>
      </c>
      <c r="B21">
        <v>0</v>
      </c>
      <c r="C21">
        <v>140</v>
      </c>
      <c r="D21">
        <v>30</v>
      </c>
      <c r="E21">
        <v>30</v>
      </c>
      <c r="F21">
        <v>0.68500000000000005</v>
      </c>
      <c r="G21">
        <f t="shared" si="0"/>
        <v>0.41100000000000003</v>
      </c>
      <c r="H21">
        <v>10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10" sqref="B10"/>
    </sheetView>
  </sheetViews>
  <sheetFormatPr baseColWidth="10" defaultRowHeight="14.4" x14ac:dyDescent="0.3"/>
  <sheetData>
    <row r="1" spans="1:6" x14ac:dyDescent="0.3">
      <c r="A1" t="s">
        <v>14</v>
      </c>
      <c r="D1" t="s">
        <v>10</v>
      </c>
    </row>
    <row r="2" spans="1:6" x14ac:dyDescent="0.3">
      <c r="A2" t="s">
        <v>13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3">
      <c r="A3">
        <v>1</v>
      </c>
      <c r="B3">
        <v>0.51</v>
      </c>
      <c r="C3">
        <v>1.78</v>
      </c>
      <c r="D3">
        <v>1.73</v>
      </c>
      <c r="E3">
        <v>0.88</v>
      </c>
      <c r="F3">
        <v>0.77</v>
      </c>
    </row>
    <row r="4" spans="1:6" x14ac:dyDescent="0.3">
      <c r="A4">
        <v>2</v>
      </c>
      <c r="B4">
        <v>2.2799999999999998</v>
      </c>
      <c r="C4">
        <v>1.17</v>
      </c>
      <c r="D4">
        <v>1.76</v>
      </c>
      <c r="E4">
        <v>0.86</v>
      </c>
      <c r="F4">
        <v>0.67</v>
      </c>
    </row>
    <row r="5" spans="1:6" x14ac:dyDescent="0.3">
      <c r="A5">
        <v>3</v>
      </c>
      <c r="B5">
        <v>1.41</v>
      </c>
      <c r="C5">
        <v>0.75</v>
      </c>
      <c r="D5">
        <v>0.99</v>
      </c>
      <c r="E5">
        <v>1.75</v>
      </c>
      <c r="F5">
        <v>0.95</v>
      </c>
    </row>
    <row r="6" spans="1:6" x14ac:dyDescent="0.3">
      <c r="A6">
        <v>4</v>
      </c>
      <c r="B6">
        <v>1.55</v>
      </c>
      <c r="C6">
        <v>1.21</v>
      </c>
      <c r="D6">
        <v>1.86</v>
      </c>
      <c r="E6">
        <v>2.16</v>
      </c>
      <c r="F6">
        <v>1.71</v>
      </c>
    </row>
    <row r="7" spans="1:6" x14ac:dyDescent="0.3">
      <c r="A7">
        <v>6</v>
      </c>
      <c r="B7">
        <v>0.78</v>
      </c>
      <c r="C7">
        <v>1.58</v>
      </c>
      <c r="D7">
        <v>1.56</v>
      </c>
      <c r="E7">
        <v>1.52</v>
      </c>
      <c r="F7">
        <v>1.52</v>
      </c>
    </row>
    <row r="8" spans="1:6" x14ac:dyDescent="0.3">
      <c r="A8">
        <v>7</v>
      </c>
      <c r="B8">
        <v>0.99</v>
      </c>
      <c r="C8">
        <v>1.41</v>
      </c>
      <c r="D8">
        <v>0.85</v>
      </c>
      <c r="E8">
        <v>0.92</v>
      </c>
      <c r="F8">
        <v>1.32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A2" sqref="A2"/>
    </sheetView>
  </sheetViews>
  <sheetFormatPr baseColWidth="10" defaultRowHeight="14.4" x14ac:dyDescent="0.3"/>
  <cols>
    <col min="3" max="7" width="11.77734375" bestFit="1" customWidth="1"/>
    <col min="8" max="8" width="12.44140625" bestFit="1" customWidth="1"/>
    <col min="9" max="9" width="11.77734375" bestFit="1" customWidth="1"/>
    <col min="10" max="10" width="15.44140625" bestFit="1" customWidth="1"/>
    <col min="11" max="11" width="11.77734375" bestFit="1" customWidth="1"/>
    <col min="12" max="12" width="19.5546875" bestFit="1" customWidth="1"/>
    <col min="13" max="13" width="11.77734375" bestFit="1" customWidth="1"/>
    <col min="14" max="14" width="24.6640625" bestFit="1" customWidth="1"/>
    <col min="15" max="15" width="12.44140625" bestFit="1" customWidth="1"/>
    <col min="16" max="16" width="30.77734375" bestFit="1" customWidth="1"/>
    <col min="17" max="17" width="17.5546875" bestFit="1" customWidth="1"/>
    <col min="18" max="18" width="38" bestFit="1" customWidth="1"/>
    <col min="19" max="19" width="23.6640625" bestFit="1" customWidth="1"/>
    <col min="20" max="20" width="47.21875" bestFit="1" customWidth="1"/>
    <col min="21" max="21" width="31.88671875" bestFit="1" customWidth="1"/>
    <col min="22" max="22" width="56.33203125" bestFit="1" customWidth="1"/>
  </cols>
  <sheetData>
    <row r="1" spans="1:22" x14ac:dyDescent="0.3">
      <c r="A1" t="s">
        <v>12</v>
      </c>
      <c r="C1" t="s">
        <v>0</v>
      </c>
    </row>
    <row r="2" spans="1:22" x14ac:dyDescent="0.3">
      <c r="C2">
        <v>0.8</v>
      </c>
      <c r="D2">
        <v>0.8</v>
      </c>
      <c r="E2">
        <v>1.1000000000000001</v>
      </c>
      <c r="F2">
        <v>1.1000000000000001</v>
      </c>
      <c r="G2">
        <v>0.5</v>
      </c>
      <c r="H2">
        <v>0.5</v>
      </c>
      <c r="I2">
        <v>1.5</v>
      </c>
      <c r="J2">
        <v>1.5</v>
      </c>
      <c r="K2">
        <v>0.7</v>
      </c>
      <c r="L2">
        <v>0.7</v>
      </c>
      <c r="M2">
        <v>0.6</v>
      </c>
      <c r="N2">
        <v>0.6</v>
      </c>
      <c r="O2">
        <v>0.9</v>
      </c>
      <c r="P2">
        <v>0.9</v>
      </c>
      <c r="Q2">
        <v>1.6</v>
      </c>
      <c r="R2">
        <v>1.6</v>
      </c>
      <c r="S2">
        <v>1.3</v>
      </c>
      <c r="T2">
        <v>1.3</v>
      </c>
      <c r="U2">
        <v>1.7</v>
      </c>
      <c r="V2">
        <v>1.7</v>
      </c>
    </row>
    <row r="3" spans="1:22" x14ac:dyDescent="0.3">
      <c r="A3" t="s">
        <v>21</v>
      </c>
      <c r="B3" t="s">
        <v>20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</row>
    <row r="4" spans="1:22" x14ac:dyDescent="0.3">
      <c r="A4">
        <v>3.5999999999999997E-2</v>
      </c>
      <c r="B4">
        <v>1</v>
      </c>
      <c r="C4" s="1">
        <f>A4*$C$2</f>
        <v>2.8799999999999999E-2</v>
      </c>
      <c r="D4" s="1">
        <f t="shared" ref="D4:V4" si="0">$A$4*D2</f>
        <v>2.8799999999999999E-2</v>
      </c>
      <c r="E4" s="1">
        <f t="shared" si="0"/>
        <v>3.9600000000000003E-2</v>
      </c>
      <c r="F4" s="1">
        <f t="shared" si="0"/>
        <v>3.9600000000000003E-2</v>
      </c>
      <c r="G4" s="1">
        <f t="shared" si="0"/>
        <v>1.7999999999999999E-2</v>
      </c>
      <c r="H4" s="1">
        <f t="shared" si="0"/>
        <v>1.7999999999999999E-2</v>
      </c>
      <c r="I4" s="1">
        <f t="shared" si="0"/>
        <v>5.3999999999999992E-2</v>
      </c>
      <c r="J4" s="1">
        <f t="shared" si="0"/>
        <v>5.3999999999999992E-2</v>
      </c>
      <c r="K4" s="1">
        <f t="shared" si="0"/>
        <v>2.5199999999999997E-2</v>
      </c>
      <c r="L4" s="1">
        <f t="shared" si="0"/>
        <v>2.5199999999999997E-2</v>
      </c>
      <c r="M4" s="1">
        <f t="shared" si="0"/>
        <v>2.1599999999999998E-2</v>
      </c>
      <c r="N4" s="1">
        <f t="shared" si="0"/>
        <v>2.1599999999999998E-2</v>
      </c>
      <c r="O4" s="1">
        <f t="shared" si="0"/>
        <v>3.2399999999999998E-2</v>
      </c>
      <c r="P4" s="1">
        <f t="shared" si="0"/>
        <v>3.2399999999999998E-2</v>
      </c>
      <c r="Q4" s="1">
        <f t="shared" si="0"/>
        <v>5.7599999999999998E-2</v>
      </c>
      <c r="R4" s="1">
        <f t="shared" si="0"/>
        <v>5.7599999999999998E-2</v>
      </c>
      <c r="S4" s="1">
        <f t="shared" si="0"/>
        <v>4.6800000000000001E-2</v>
      </c>
      <c r="T4" s="1">
        <f t="shared" si="0"/>
        <v>4.6800000000000001E-2</v>
      </c>
      <c r="U4" s="1">
        <f t="shared" si="0"/>
        <v>6.1199999999999991E-2</v>
      </c>
      <c r="V4" s="1">
        <f t="shared" si="0"/>
        <v>6.1199999999999991E-2</v>
      </c>
    </row>
    <row r="5" spans="1:22" x14ac:dyDescent="0.3">
      <c r="A5">
        <v>4.1000000000000002E-2</v>
      </c>
      <c r="B5">
        <v>2</v>
      </c>
      <c r="C5" s="1">
        <f>$A$5*C2</f>
        <v>3.2800000000000003E-2</v>
      </c>
      <c r="D5" s="1">
        <f t="shared" ref="D5:V5" si="1">$A$5*D2</f>
        <v>3.2800000000000003E-2</v>
      </c>
      <c r="E5" s="1">
        <f t="shared" si="1"/>
        <v>4.5100000000000008E-2</v>
      </c>
      <c r="F5" s="1">
        <f t="shared" si="1"/>
        <v>4.5100000000000008E-2</v>
      </c>
      <c r="G5" s="1">
        <f t="shared" si="1"/>
        <v>2.0500000000000001E-2</v>
      </c>
      <c r="H5" s="1">
        <f t="shared" si="1"/>
        <v>2.0500000000000001E-2</v>
      </c>
      <c r="I5" s="1">
        <f t="shared" si="1"/>
        <v>6.1499999999999999E-2</v>
      </c>
      <c r="J5" s="1">
        <f t="shared" si="1"/>
        <v>6.1499999999999999E-2</v>
      </c>
      <c r="K5" s="1">
        <f t="shared" si="1"/>
        <v>2.87E-2</v>
      </c>
      <c r="L5" s="1">
        <f t="shared" si="1"/>
        <v>2.87E-2</v>
      </c>
      <c r="M5" s="1">
        <f t="shared" si="1"/>
        <v>2.46E-2</v>
      </c>
      <c r="N5" s="1">
        <f t="shared" si="1"/>
        <v>2.46E-2</v>
      </c>
      <c r="O5" s="1">
        <f t="shared" si="1"/>
        <v>3.6900000000000002E-2</v>
      </c>
      <c r="P5" s="1">
        <f t="shared" si="1"/>
        <v>3.6900000000000002E-2</v>
      </c>
      <c r="Q5" s="1">
        <f t="shared" si="1"/>
        <v>6.5600000000000006E-2</v>
      </c>
      <c r="R5" s="1">
        <f t="shared" si="1"/>
        <v>6.5600000000000006E-2</v>
      </c>
      <c r="S5" s="1">
        <f t="shared" si="1"/>
        <v>5.3300000000000007E-2</v>
      </c>
      <c r="T5" s="1">
        <f t="shared" si="1"/>
        <v>5.3300000000000007E-2</v>
      </c>
      <c r="U5" s="1">
        <f t="shared" si="1"/>
        <v>6.9699999999999998E-2</v>
      </c>
      <c r="V5" s="1">
        <f t="shared" si="1"/>
        <v>6.9699999999999998E-2</v>
      </c>
    </row>
    <row r="6" spans="1:22" x14ac:dyDescent="0.3">
      <c r="A6">
        <v>8.2000000000000003E-2</v>
      </c>
      <c r="B6">
        <v>3</v>
      </c>
      <c r="C6" s="1">
        <f>$A$6*C2</f>
        <v>6.5600000000000006E-2</v>
      </c>
      <c r="D6" s="1">
        <f t="shared" ref="D6:V6" si="2">$A$6*D2</f>
        <v>6.5600000000000006E-2</v>
      </c>
      <c r="E6" s="1">
        <f t="shared" si="2"/>
        <v>9.0200000000000016E-2</v>
      </c>
      <c r="F6" s="1">
        <f t="shared" si="2"/>
        <v>9.0200000000000016E-2</v>
      </c>
      <c r="G6" s="1">
        <f t="shared" si="2"/>
        <v>4.1000000000000002E-2</v>
      </c>
      <c r="H6" s="1">
        <f t="shared" si="2"/>
        <v>4.1000000000000002E-2</v>
      </c>
      <c r="I6" s="1">
        <f t="shared" si="2"/>
        <v>0.123</v>
      </c>
      <c r="J6" s="1">
        <f t="shared" si="2"/>
        <v>0.123</v>
      </c>
      <c r="K6" s="1">
        <f t="shared" si="2"/>
        <v>5.74E-2</v>
      </c>
      <c r="L6" s="1">
        <f t="shared" si="2"/>
        <v>5.74E-2</v>
      </c>
      <c r="M6" s="1">
        <f t="shared" si="2"/>
        <v>4.9200000000000001E-2</v>
      </c>
      <c r="N6" s="1">
        <f t="shared" si="2"/>
        <v>4.9200000000000001E-2</v>
      </c>
      <c r="O6" s="1">
        <f t="shared" si="2"/>
        <v>7.3800000000000004E-2</v>
      </c>
      <c r="P6" s="1">
        <f t="shared" si="2"/>
        <v>7.3800000000000004E-2</v>
      </c>
      <c r="Q6" s="1">
        <f t="shared" si="2"/>
        <v>0.13120000000000001</v>
      </c>
      <c r="R6" s="1">
        <f t="shared" si="2"/>
        <v>0.13120000000000001</v>
      </c>
      <c r="S6" s="1">
        <f t="shared" si="2"/>
        <v>0.10660000000000001</v>
      </c>
      <c r="T6" s="1">
        <f t="shared" si="2"/>
        <v>0.10660000000000001</v>
      </c>
      <c r="U6" s="1">
        <f t="shared" si="2"/>
        <v>0.1394</v>
      </c>
      <c r="V6" s="1">
        <f t="shared" si="2"/>
        <v>0.1394</v>
      </c>
    </row>
    <row r="7" spans="1:22" x14ac:dyDescent="0.3">
      <c r="A7">
        <v>5.5E-2</v>
      </c>
      <c r="B7">
        <v>4</v>
      </c>
      <c r="C7" s="1">
        <f>$A$7*C2</f>
        <v>4.4000000000000004E-2</v>
      </c>
      <c r="D7" s="1">
        <f t="shared" ref="D7:V7" si="3">$A$7*D2</f>
        <v>4.4000000000000004E-2</v>
      </c>
      <c r="E7" s="1">
        <f t="shared" si="3"/>
        <v>6.0500000000000005E-2</v>
      </c>
      <c r="F7" s="1">
        <f t="shared" si="3"/>
        <v>6.0500000000000005E-2</v>
      </c>
      <c r="G7" s="1">
        <f t="shared" si="3"/>
        <v>2.75E-2</v>
      </c>
      <c r="H7" s="1">
        <f t="shared" si="3"/>
        <v>2.75E-2</v>
      </c>
      <c r="I7" s="1">
        <f t="shared" si="3"/>
        <v>8.2500000000000004E-2</v>
      </c>
      <c r="J7" s="1">
        <f t="shared" si="3"/>
        <v>8.2500000000000004E-2</v>
      </c>
      <c r="K7" s="1">
        <f t="shared" si="3"/>
        <v>3.85E-2</v>
      </c>
      <c r="L7" s="1">
        <f t="shared" si="3"/>
        <v>3.85E-2</v>
      </c>
      <c r="M7" s="1">
        <f t="shared" si="3"/>
        <v>3.3000000000000002E-2</v>
      </c>
      <c r="N7" s="1">
        <f t="shared" si="3"/>
        <v>3.3000000000000002E-2</v>
      </c>
      <c r="O7" s="1">
        <f t="shared" si="3"/>
        <v>4.9500000000000002E-2</v>
      </c>
      <c r="P7" s="1">
        <f t="shared" si="3"/>
        <v>4.9500000000000002E-2</v>
      </c>
      <c r="Q7" s="1">
        <f t="shared" si="3"/>
        <v>8.8000000000000009E-2</v>
      </c>
      <c r="R7" s="1">
        <f t="shared" si="3"/>
        <v>8.8000000000000009E-2</v>
      </c>
      <c r="S7" s="1">
        <f t="shared" si="3"/>
        <v>7.1500000000000008E-2</v>
      </c>
      <c r="T7" s="1">
        <f t="shared" si="3"/>
        <v>7.1500000000000008E-2</v>
      </c>
      <c r="U7" s="1">
        <f t="shared" si="3"/>
        <v>9.35E-2</v>
      </c>
      <c r="V7" s="1">
        <f t="shared" si="3"/>
        <v>9.35E-2</v>
      </c>
    </row>
    <row r="8" spans="1:22" x14ac:dyDescent="0.3">
      <c r="A8">
        <v>7.4999999999999997E-2</v>
      </c>
      <c r="B8">
        <v>5</v>
      </c>
      <c r="C8" s="1">
        <f>$A$8*C2</f>
        <v>0.06</v>
      </c>
      <c r="D8" s="1">
        <f t="shared" ref="D8:V8" si="4">$A$8*D2</f>
        <v>0.06</v>
      </c>
      <c r="E8" s="1">
        <f t="shared" si="4"/>
        <v>8.2500000000000004E-2</v>
      </c>
      <c r="F8" s="1">
        <f t="shared" si="4"/>
        <v>8.2500000000000004E-2</v>
      </c>
      <c r="G8" s="1">
        <f t="shared" si="4"/>
        <v>3.7499999999999999E-2</v>
      </c>
      <c r="H8" s="1">
        <f t="shared" si="4"/>
        <v>3.7499999999999999E-2</v>
      </c>
      <c r="I8" s="1">
        <f t="shared" si="4"/>
        <v>0.11249999999999999</v>
      </c>
      <c r="J8" s="1">
        <f t="shared" si="4"/>
        <v>0.11249999999999999</v>
      </c>
      <c r="K8" s="1">
        <f t="shared" si="4"/>
        <v>5.2499999999999998E-2</v>
      </c>
      <c r="L8" s="1">
        <f t="shared" si="4"/>
        <v>5.2499999999999998E-2</v>
      </c>
      <c r="M8" s="1">
        <f t="shared" si="4"/>
        <v>4.4999999999999998E-2</v>
      </c>
      <c r="N8" s="1">
        <f t="shared" si="4"/>
        <v>4.4999999999999998E-2</v>
      </c>
      <c r="O8" s="1">
        <f t="shared" si="4"/>
        <v>6.7500000000000004E-2</v>
      </c>
      <c r="P8" s="1">
        <f t="shared" si="4"/>
        <v>6.7500000000000004E-2</v>
      </c>
      <c r="Q8" s="1">
        <f t="shared" si="4"/>
        <v>0.12</v>
      </c>
      <c r="R8" s="1">
        <f t="shared" si="4"/>
        <v>0.12</v>
      </c>
      <c r="S8" s="1">
        <f t="shared" si="4"/>
        <v>9.7500000000000003E-2</v>
      </c>
      <c r="T8" s="1">
        <f t="shared" si="4"/>
        <v>9.7500000000000003E-2</v>
      </c>
      <c r="U8" s="1">
        <f t="shared" si="4"/>
        <v>0.1275</v>
      </c>
      <c r="V8" s="1">
        <f t="shared" si="4"/>
        <v>0.1275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tabSelected="1" workbookViewId="0">
      <selection activeCell="A9" sqref="A9"/>
    </sheetView>
  </sheetViews>
  <sheetFormatPr baseColWidth="10" defaultRowHeight="14.4" x14ac:dyDescent="0.3"/>
  <cols>
    <col min="3" max="7" width="11.77734375" bestFit="1" customWidth="1"/>
    <col min="8" max="8" width="12.44140625" bestFit="1" customWidth="1"/>
    <col min="9" max="9" width="11.77734375" bestFit="1" customWidth="1"/>
    <col min="10" max="10" width="15.44140625" bestFit="1" customWidth="1"/>
    <col min="11" max="11" width="11.77734375" bestFit="1" customWidth="1"/>
    <col min="12" max="12" width="19.5546875" bestFit="1" customWidth="1"/>
    <col min="13" max="13" width="11.77734375" bestFit="1" customWidth="1"/>
    <col min="14" max="14" width="24.6640625" bestFit="1" customWidth="1"/>
    <col min="15" max="15" width="12.44140625" bestFit="1" customWidth="1"/>
    <col min="16" max="16" width="30.77734375" bestFit="1" customWidth="1"/>
    <col min="17" max="17" width="17.5546875" bestFit="1" customWidth="1"/>
    <col min="18" max="18" width="38" bestFit="1" customWidth="1"/>
    <col min="19" max="19" width="23.6640625" bestFit="1" customWidth="1"/>
    <col min="20" max="20" width="47.21875" bestFit="1" customWidth="1"/>
    <col min="21" max="21" width="31.88671875" bestFit="1" customWidth="1"/>
    <col min="22" max="22" width="56.33203125" bestFit="1" customWidth="1"/>
  </cols>
  <sheetData>
    <row r="1" spans="1:22" x14ac:dyDescent="0.3">
      <c r="A1" t="s">
        <v>22</v>
      </c>
      <c r="C1" t="s">
        <v>0</v>
      </c>
    </row>
    <row r="2" spans="1:22" x14ac:dyDescent="0.3">
      <c r="C2">
        <v>0.8</v>
      </c>
      <c r="D2">
        <v>0.8</v>
      </c>
      <c r="E2">
        <v>1.1000000000000001</v>
      </c>
      <c r="F2">
        <v>1.1000000000000001</v>
      </c>
      <c r="G2">
        <v>0.5</v>
      </c>
      <c r="H2">
        <v>0.5</v>
      </c>
      <c r="I2">
        <v>1.5</v>
      </c>
      <c r="J2">
        <v>1.5</v>
      </c>
      <c r="K2">
        <v>0.7</v>
      </c>
      <c r="L2">
        <v>0.7</v>
      </c>
      <c r="M2">
        <v>0.6</v>
      </c>
      <c r="N2">
        <v>0.6</v>
      </c>
      <c r="O2">
        <v>0.9</v>
      </c>
      <c r="P2">
        <v>0.9</v>
      </c>
      <c r="Q2">
        <v>1.6</v>
      </c>
      <c r="R2">
        <v>1.6</v>
      </c>
      <c r="S2">
        <v>1.3</v>
      </c>
      <c r="T2">
        <v>1.3</v>
      </c>
      <c r="U2">
        <v>1.7</v>
      </c>
      <c r="V2">
        <v>1.7</v>
      </c>
    </row>
    <row r="3" spans="1:22" x14ac:dyDescent="0.3">
      <c r="A3" t="s">
        <v>21</v>
      </c>
      <c r="B3" t="s">
        <v>20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</row>
    <row r="4" spans="1:22" x14ac:dyDescent="0.3">
      <c r="A4">
        <v>2.5000000000000001E-2</v>
      </c>
      <c r="B4">
        <v>1</v>
      </c>
      <c r="C4" s="1">
        <f>A4*$C$2</f>
        <v>2.0000000000000004E-2</v>
      </c>
      <c r="D4" s="1">
        <f t="shared" ref="D4:V4" si="0">$A$4*D2</f>
        <v>2.0000000000000004E-2</v>
      </c>
      <c r="E4" s="1">
        <f t="shared" si="0"/>
        <v>2.7500000000000004E-2</v>
      </c>
      <c r="F4" s="1">
        <f t="shared" si="0"/>
        <v>2.7500000000000004E-2</v>
      </c>
      <c r="G4" s="1">
        <f t="shared" si="0"/>
        <v>1.2500000000000001E-2</v>
      </c>
      <c r="H4" s="1">
        <f t="shared" si="0"/>
        <v>1.2500000000000001E-2</v>
      </c>
      <c r="I4" s="1">
        <f t="shared" si="0"/>
        <v>3.7500000000000006E-2</v>
      </c>
      <c r="J4" s="1">
        <f t="shared" si="0"/>
        <v>3.7500000000000006E-2</v>
      </c>
      <c r="K4" s="1">
        <f t="shared" si="0"/>
        <v>1.7499999999999998E-2</v>
      </c>
      <c r="L4" s="1">
        <f t="shared" si="0"/>
        <v>1.7499999999999998E-2</v>
      </c>
      <c r="M4" s="1">
        <f t="shared" si="0"/>
        <v>1.4999999999999999E-2</v>
      </c>
      <c r="N4" s="1">
        <f t="shared" si="0"/>
        <v>1.4999999999999999E-2</v>
      </c>
      <c r="O4" s="1">
        <f t="shared" si="0"/>
        <v>2.2500000000000003E-2</v>
      </c>
      <c r="P4" s="1">
        <f t="shared" si="0"/>
        <v>2.2500000000000003E-2</v>
      </c>
      <c r="Q4" s="1">
        <f t="shared" si="0"/>
        <v>4.0000000000000008E-2</v>
      </c>
      <c r="R4" s="1">
        <f t="shared" si="0"/>
        <v>4.0000000000000008E-2</v>
      </c>
      <c r="S4" s="1">
        <f t="shared" si="0"/>
        <v>3.2500000000000001E-2</v>
      </c>
      <c r="T4" s="1">
        <f t="shared" si="0"/>
        <v>3.2500000000000001E-2</v>
      </c>
      <c r="U4" s="1">
        <f t="shared" si="0"/>
        <v>4.2500000000000003E-2</v>
      </c>
      <c r="V4" s="1">
        <f t="shared" si="0"/>
        <v>4.2500000000000003E-2</v>
      </c>
    </row>
    <row r="5" spans="1:22" x14ac:dyDescent="0.3">
      <c r="A5">
        <v>7.8E-2</v>
      </c>
      <c r="B5">
        <v>2</v>
      </c>
      <c r="C5" s="1">
        <f>$A$5*C2</f>
        <v>6.2400000000000004E-2</v>
      </c>
      <c r="D5" s="1">
        <f t="shared" ref="D5:V5" si="1">$A$5*D2</f>
        <v>6.2400000000000004E-2</v>
      </c>
      <c r="E5" s="1">
        <f t="shared" si="1"/>
        <v>8.5800000000000001E-2</v>
      </c>
      <c r="F5" s="1">
        <f t="shared" si="1"/>
        <v>8.5800000000000001E-2</v>
      </c>
      <c r="G5" s="1">
        <f t="shared" si="1"/>
        <v>3.9E-2</v>
      </c>
      <c r="H5" s="1">
        <f t="shared" si="1"/>
        <v>3.9E-2</v>
      </c>
      <c r="I5" s="1">
        <f t="shared" si="1"/>
        <v>0.11699999999999999</v>
      </c>
      <c r="J5" s="1">
        <f t="shared" si="1"/>
        <v>0.11699999999999999</v>
      </c>
      <c r="K5" s="1">
        <f t="shared" si="1"/>
        <v>5.4599999999999996E-2</v>
      </c>
      <c r="L5" s="1">
        <f t="shared" si="1"/>
        <v>5.4599999999999996E-2</v>
      </c>
      <c r="M5" s="1">
        <f t="shared" si="1"/>
        <v>4.6800000000000001E-2</v>
      </c>
      <c r="N5" s="1">
        <f t="shared" si="1"/>
        <v>4.6800000000000001E-2</v>
      </c>
      <c r="O5" s="1">
        <f t="shared" si="1"/>
        <v>7.0199999999999999E-2</v>
      </c>
      <c r="P5" s="1">
        <f t="shared" si="1"/>
        <v>7.0199999999999999E-2</v>
      </c>
      <c r="Q5" s="1">
        <f t="shared" si="1"/>
        <v>0.12480000000000001</v>
      </c>
      <c r="R5" s="1">
        <f t="shared" si="1"/>
        <v>0.12480000000000001</v>
      </c>
      <c r="S5" s="1">
        <f t="shared" si="1"/>
        <v>0.1014</v>
      </c>
      <c r="T5" s="1">
        <f t="shared" si="1"/>
        <v>0.1014</v>
      </c>
      <c r="U5" s="1">
        <f t="shared" si="1"/>
        <v>0.1326</v>
      </c>
      <c r="V5" s="1">
        <f t="shared" si="1"/>
        <v>0.1326</v>
      </c>
    </row>
    <row r="6" spans="1:22" x14ac:dyDescent="0.3">
      <c r="A6">
        <v>9.5000000000000001E-2</v>
      </c>
      <c r="B6">
        <v>3</v>
      </c>
      <c r="C6" s="1">
        <f>$A$6*C2</f>
        <v>7.6000000000000012E-2</v>
      </c>
      <c r="D6" s="1">
        <f t="shared" ref="D6:V6" si="2">$A$6*D2</f>
        <v>7.6000000000000012E-2</v>
      </c>
      <c r="E6" s="1">
        <f t="shared" si="2"/>
        <v>0.10450000000000001</v>
      </c>
      <c r="F6" s="1">
        <f t="shared" si="2"/>
        <v>0.10450000000000001</v>
      </c>
      <c r="G6" s="1">
        <f t="shared" si="2"/>
        <v>4.7500000000000001E-2</v>
      </c>
      <c r="H6" s="1">
        <f t="shared" si="2"/>
        <v>4.7500000000000001E-2</v>
      </c>
      <c r="I6" s="1">
        <f t="shared" si="2"/>
        <v>0.14250000000000002</v>
      </c>
      <c r="J6" s="1">
        <f t="shared" si="2"/>
        <v>0.14250000000000002</v>
      </c>
      <c r="K6" s="1">
        <f t="shared" si="2"/>
        <v>6.649999999999999E-2</v>
      </c>
      <c r="L6" s="1">
        <f t="shared" si="2"/>
        <v>6.649999999999999E-2</v>
      </c>
      <c r="M6" s="1">
        <f t="shared" si="2"/>
        <v>5.6999999999999995E-2</v>
      </c>
      <c r="N6" s="1">
        <f t="shared" si="2"/>
        <v>5.6999999999999995E-2</v>
      </c>
      <c r="O6" s="1">
        <f t="shared" si="2"/>
        <v>8.5500000000000007E-2</v>
      </c>
      <c r="P6" s="1">
        <f t="shared" si="2"/>
        <v>8.5500000000000007E-2</v>
      </c>
      <c r="Q6" s="1">
        <f t="shared" si="2"/>
        <v>0.15200000000000002</v>
      </c>
      <c r="R6" s="1">
        <f t="shared" si="2"/>
        <v>0.15200000000000002</v>
      </c>
      <c r="S6" s="1">
        <f t="shared" si="2"/>
        <v>0.12350000000000001</v>
      </c>
      <c r="T6" s="1">
        <f t="shared" si="2"/>
        <v>0.12350000000000001</v>
      </c>
      <c r="U6" s="1">
        <f t="shared" si="2"/>
        <v>0.1615</v>
      </c>
      <c r="V6" s="1">
        <f t="shared" si="2"/>
        <v>0.1615</v>
      </c>
    </row>
    <row r="7" spans="1:22" x14ac:dyDescent="0.3">
      <c r="A7">
        <v>5.2999999999999999E-2</v>
      </c>
      <c r="B7">
        <v>4</v>
      </c>
      <c r="C7" s="1">
        <f>$A$7*C2</f>
        <v>4.24E-2</v>
      </c>
      <c r="D7" s="1">
        <f t="shared" ref="D7:V7" si="3">$A$7*D2</f>
        <v>4.24E-2</v>
      </c>
      <c r="E7" s="1">
        <f t="shared" si="3"/>
        <v>5.8300000000000005E-2</v>
      </c>
      <c r="F7" s="1">
        <f t="shared" si="3"/>
        <v>5.8300000000000005E-2</v>
      </c>
      <c r="G7" s="1">
        <f t="shared" si="3"/>
        <v>2.6499999999999999E-2</v>
      </c>
      <c r="H7" s="1">
        <f t="shared" si="3"/>
        <v>2.6499999999999999E-2</v>
      </c>
      <c r="I7" s="1">
        <f t="shared" si="3"/>
        <v>7.9500000000000001E-2</v>
      </c>
      <c r="J7" s="1">
        <f t="shared" si="3"/>
        <v>7.9500000000000001E-2</v>
      </c>
      <c r="K7" s="1">
        <f t="shared" si="3"/>
        <v>3.7099999999999994E-2</v>
      </c>
      <c r="L7" s="1">
        <f t="shared" si="3"/>
        <v>3.7099999999999994E-2</v>
      </c>
      <c r="M7" s="1">
        <f t="shared" si="3"/>
        <v>3.1799999999999995E-2</v>
      </c>
      <c r="N7" s="1">
        <f t="shared" si="3"/>
        <v>3.1799999999999995E-2</v>
      </c>
      <c r="O7" s="1">
        <f t="shared" si="3"/>
        <v>4.7699999999999999E-2</v>
      </c>
      <c r="P7" s="1">
        <f t="shared" si="3"/>
        <v>4.7699999999999999E-2</v>
      </c>
      <c r="Q7" s="1">
        <f t="shared" si="3"/>
        <v>8.48E-2</v>
      </c>
      <c r="R7" s="1">
        <f t="shared" si="3"/>
        <v>8.48E-2</v>
      </c>
      <c r="S7" s="1">
        <f t="shared" si="3"/>
        <v>6.8900000000000003E-2</v>
      </c>
      <c r="T7" s="1">
        <f t="shared" si="3"/>
        <v>6.8900000000000003E-2</v>
      </c>
      <c r="U7" s="1">
        <f t="shared" si="3"/>
        <v>9.01E-2</v>
      </c>
      <c r="V7" s="1">
        <f t="shared" si="3"/>
        <v>9.01E-2</v>
      </c>
    </row>
    <row r="8" spans="1:22" x14ac:dyDescent="0.3">
      <c r="A8">
        <v>4.8000000000000001E-2</v>
      </c>
      <c r="B8">
        <v>5</v>
      </c>
      <c r="C8" s="1">
        <f>$A$8*C2</f>
        <v>3.8400000000000004E-2</v>
      </c>
      <c r="D8" s="1">
        <f t="shared" ref="D8:V8" si="4">$A$8*D2</f>
        <v>3.8400000000000004E-2</v>
      </c>
      <c r="E8" s="1">
        <f t="shared" si="4"/>
        <v>5.2800000000000007E-2</v>
      </c>
      <c r="F8" s="1">
        <f t="shared" si="4"/>
        <v>5.2800000000000007E-2</v>
      </c>
      <c r="G8" s="1">
        <f t="shared" si="4"/>
        <v>2.4E-2</v>
      </c>
      <c r="H8" s="1">
        <f t="shared" si="4"/>
        <v>2.4E-2</v>
      </c>
      <c r="I8" s="1">
        <f t="shared" si="4"/>
        <v>7.2000000000000008E-2</v>
      </c>
      <c r="J8" s="1">
        <f t="shared" si="4"/>
        <v>7.2000000000000008E-2</v>
      </c>
      <c r="K8" s="1">
        <f t="shared" si="4"/>
        <v>3.3599999999999998E-2</v>
      </c>
      <c r="L8" s="1">
        <f t="shared" si="4"/>
        <v>3.3599999999999998E-2</v>
      </c>
      <c r="M8" s="1">
        <f t="shared" si="4"/>
        <v>2.8799999999999999E-2</v>
      </c>
      <c r="N8" s="1">
        <f t="shared" si="4"/>
        <v>2.8799999999999999E-2</v>
      </c>
      <c r="O8" s="1">
        <f t="shared" si="4"/>
        <v>4.3200000000000002E-2</v>
      </c>
      <c r="P8" s="1">
        <f t="shared" si="4"/>
        <v>4.3200000000000002E-2</v>
      </c>
      <c r="Q8" s="1">
        <f t="shared" si="4"/>
        <v>7.6800000000000007E-2</v>
      </c>
      <c r="R8" s="1">
        <f t="shared" si="4"/>
        <v>7.6800000000000007E-2</v>
      </c>
      <c r="S8" s="1">
        <f t="shared" si="4"/>
        <v>6.2400000000000004E-2</v>
      </c>
      <c r="T8" s="1">
        <f t="shared" si="4"/>
        <v>6.2400000000000004E-2</v>
      </c>
      <c r="U8" s="1">
        <f t="shared" si="4"/>
        <v>8.1600000000000006E-2</v>
      </c>
      <c r="V8" s="1">
        <f t="shared" si="4"/>
        <v>8.1600000000000006E-2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3" sqref="B13"/>
    </sheetView>
  </sheetViews>
  <sheetFormatPr baseColWidth="10" defaultRowHeight="14.4" x14ac:dyDescent="0.3"/>
  <cols>
    <col min="2" max="2" width="18.6640625" bestFit="1" customWidth="1"/>
    <col min="3" max="3" width="24" bestFit="1" customWidth="1"/>
  </cols>
  <sheetData>
    <row r="1" spans="1:3" x14ac:dyDescent="0.3">
      <c r="A1" t="s">
        <v>9</v>
      </c>
      <c r="B1" t="s">
        <v>15</v>
      </c>
      <c r="C1" t="s">
        <v>16</v>
      </c>
    </row>
    <row r="2" spans="1:3" x14ac:dyDescent="0.3">
      <c r="A2">
        <v>1</v>
      </c>
      <c r="B2">
        <v>2.5</v>
      </c>
      <c r="C2" s="2">
        <v>1.25</v>
      </c>
    </row>
    <row r="3" spans="1:3" x14ac:dyDescent="0.3">
      <c r="A3">
        <v>2</v>
      </c>
      <c r="B3">
        <v>10</v>
      </c>
      <c r="C3" s="2">
        <v>3</v>
      </c>
    </row>
    <row r="4" spans="1:3" x14ac:dyDescent="0.3">
      <c r="A4">
        <v>3</v>
      </c>
      <c r="B4">
        <v>7.5</v>
      </c>
      <c r="C4" s="2">
        <v>4.5</v>
      </c>
    </row>
    <row r="5" spans="1:3" x14ac:dyDescent="0.3">
      <c r="A5">
        <v>4</v>
      </c>
      <c r="B5">
        <v>10</v>
      </c>
      <c r="C5" s="2">
        <v>4</v>
      </c>
    </row>
    <row r="6" spans="1:3" x14ac:dyDescent="0.3">
      <c r="A6">
        <v>5</v>
      </c>
      <c r="B6">
        <v>15</v>
      </c>
      <c r="C6" s="2">
        <v>3</v>
      </c>
    </row>
    <row r="7" spans="1:3" x14ac:dyDescent="0.3">
      <c r="A7">
        <v>6</v>
      </c>
      <c r="B7">
        <v>2.5</v>
      </c>
      <c r="C7" s="2">
        <v>1.5</v>
      </c>
    </row>
    <row r="8" spans="1:3" x14ac:dyDescent="0.3">
      <c r="A8">
        <v>7</v>
      </c>
      <c r="B8">
        <v>2.5</v>
      </c>
      <c r="C8" s="2">
        <v>2</v>
      </c>
    </row>
    <row r="12" spans="1:3" x14ac:dyDescent="0.3">
      <c r="A12" t="s">
        <v>17</v>
      </c>
      <c r="B12" t="s">
        <v>18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G18" sqref="G18"/>
    </sheetView>
  </sheetViews>
  <sheetFormatPr baseColWidth="10" defaultRowHeight="14.4" x14ac:dyDescent="0.3"/>
  <cols>
    <col min="1" max="1" width="8" bestFit="1" customWidth="1"/>
    <col min="2" max="2" width="10.21875" bestFit="1" customWidth="1"/>
    <col min="3" max="3" width="8.6640625" bestFit="1" customWidth="1"/>
    <col min="4" max="4" width="15.6640625" bestFit="1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x14ac:dyDescent="0.3">
      <c r="A2">
        <v>1</v>
      </c>
      <c r="B2">
        <v>1</v>
      </c>
      <c r="C2">
        <v>1</v>
      </c>
      <c r="D2">
        <v>0.21</v>
      </c>
    </row>
    <row r="3" spans="1:4" x14ac:dyDescent="0.3">
      <c r="A3">
        <v>2</v>
      </c>
      <c r="B3">
        <v>2</v>
      </c>
      <c r="D3">
        <v>0.38</v>
      </c>
    </row>
    <row r="4" spans="1:4" x14ac:dyDescent="0.3">
      <c r="A4">
        <v>3</v>
      </c>
      <c r="B4">
        <v>3</v>
      </c>
      <c r="D4">
        <v>0.18</v>
      </c>
    </row>
    <row r="5" spans="1:4" x14ac:dyDescent="0.3">
      <c r="A5">
        <v>4</v>
      </c>
      <c r="C5">
        <v>2</v>
      </c>
      <c r="D5">
        <v>0.22</v>
      </c>
    </row>
    <row r="6" spans="1:4" x14ac:dyDescent="0.3">
      <c r="A6">
        <v>5</v>
      </c>
      <c r="D6">
        <v>0.4</v>
      </c>
    </row>
    <row r="7" spans="1:4" x14ac:dyDescent="0.3">
      <c r="A7">
        <v>6</v>
      </c>
      <c r="B7">
        <v>4</v>
      </c>
      <c r="C7">
        <v>3</v>
      </c>
      <c r="D7">
        <v>0.35</v>
      </c>
    </row>
    <row r="8" spans="1:4" x14ac:dyDescent="0.3">
      <c r="A8">
        <v>7</v>
      </c>
      <c r="B8">
        <v>5</v>
      </c>
      <c r="D8">
        <v>0.24</v>
      </c>
    </row>
    <row r="9" spans="1:4" x14ac:dyDescent="0.3">
      <c r="A9">
        <v>8</v>
      </c>
      <c r="B9">
        <v>6</v>
      </c>
      <c r="C9">
        <v>4</v>
      </c>
      <c r="D9">
        <v>0.39</v>
      </c>
    </row>
    <row r="10" spans="1:4" x14ac:dyDescent="0.3">
      <c r="A10">
        <v>9</v>
      </c>
      <c r="C10">
        <v>5</v>
      </c>
      <c r="D10">
        <v>0.26</v>
      </c>
    </row>
    <row r="11" spans="1:4" x14ac:dyDescent="0.3">
      <c r="A11">
        <v>10</v>
      </c>
      <c r="B11">
        <v>7</v>
      </c>
      <c r="D11">
        <v>0.15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baseColWidth="10" defaultRowHeight="14.4" x14ac:dyDescent="0.3"/>
  <cols>
    <col min="1" max="1" width="39.109375" bestFit="1" customWidth="1"/>
  </cols>
  <sheetData>
    <row r="1" spans="1:2" x14ac:dyDescent="0.3">
      <c r="A1" t="s">
        <v>5</v>
      </c>
      <c r="B1">
        <v>300</v>
      </c>
    </row>
    <row r="2" spans="1:2" x14ac:dyDescent="0.3">
      <c r="A2" t="s">
        <v>19</v>
      </c>
      <c r="B2">
        <v>0.44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Capacity</vt:lpstr>
      <vt:lpstr>Purchase Price from Supplier</vt:lpstr>
      <vt:lpstr>CIF from Supplier M1</vt:lpstr>
      <vt:lpstr>CIF from Supplier M2</vt:lpstr>
      <vt:lpstr>Demand</vt:lpstr>
      <vt:lpstr>Nations</vt:lpstr>
      <vt:lpstr>Constant</vt:lpstr>
      <vt:lpstr>Timing Model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Sarah</cp:lastModifiedBy>
  <dcterms:created xsi:type="dcterms:W3CDTF">2017-10-31T13:49:41Z</dcterms:created>
  <dcterms:modified xsi:type="dcterms:W3CDTF">2017-10-31T18:22:43Z</dcterms:modified>
</cp:coreProperties>
</file>