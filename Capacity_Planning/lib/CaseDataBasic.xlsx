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5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3" l="1"/>
  <c r="C3" i="5" l="1"/>
  <c r="D3" i="5" s="1"/>
  <c r="C4" i="5" l="1"/>
  <c r="D4" i="5" s="1"/>
  <c r="H6" i="29"/>
  <c r="H5" i="29"/>
  <c r="B12" i="29"/>
  <c r="B2" i="24" l="1"/>
  <c r="C2" i="25"/>
  <c r="D2" i="25"/>
  <c r="E2" i="25"/>
  <c r="C3" i="25"/>
  <c r="D3" i="25"/>
  <c r="E3" i="25"/>
  <c r="B3" i="25"/>
  <c r="B2" i="25"/>
  <c r="C2" i="24"/>
  <c r="D2" i="24"/>
  <c r="E2" i="24"/>
  <c r="C3" i="24"/>
  <c r="D3" i="24"/>
  <c r="E3" i="24"/>
  <c r="B3" i="24"/>
  <c r="C2" i="22"/>
  <c r="D2" i="22"/>
  <c r="E2" i="22"/>
  <c r="C3" i="22"/>
  <c r="D3" i="22"/>
  <c r="E3" i="22"/>
  <c r="B3" i="22"/>
  <c r="B2" i="22"/>
  <c r="C2" i="21"/>
  <c r="D2" i="21"/>
  <c r="E2" i="21"/>
  <c r="C3" i="21"/>
  <c r="D3" i="21"/>
  <c r="E3" i="21"/>
  <c r="B3" i="21"/>
  <c r="B2" i="21"/>
  <c r="C2" i="20"/>
  <c r="D2" i="20"/>
  <c r="E2" i="20"/>
  <c r="C3" i="20"/>
  <c r="D3" i="20"/>
  <c r="E3" i="20"/>
  <c r="B3" i="20"/>
  <c r="B2" i="20"/>
  <c r="D1" i="5" l="1"/>
</calcChain>
</file>

<file path=xl/sharedStrings.xml><?xml version="1.0" encoding="utf-8"?>
<sst xmlns="http://schemas.openxmlformats.org/spreadsheetml/2006/main" count="72" uniqueCount="57">
  <si>
    <t>Nation n</t>
  </si>
  <si>
    <t>corporate tax TRn</t>
  </si>
  <si>
    <t>Sum</t>
  </si>
  <si>
    <t>IF</t>
  </si>
  <si>
    <t>Facility f</t>
  </si>
  <si>
    <t>F</t>
  </si>
  <si>
    <t>EF</t>
  </si>
  <si>
    <t>f/n</t>
  </si>
  <si>
    <t>f/i</t>
  </si>
  <si>
    <t>Project life Lf</t>
  </si>
  <si>
    <t>Percentage of Monopoly D</t>
  </si>
  <si>
    <t>s/f</t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</si>
  <si>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</si>
  <si>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</si>
  <si>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</si>
  <si>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</si>
  <si>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</si>
  <si>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</si>
  <si>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</si>
  <si>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</si>
  <si>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</si>
  <si>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</si>
  <si>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</si>
  <si>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</si>
  <si>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</si>
  <si>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(or 0,95 per year)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</si>
  <si>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</si>
  <si>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</si>
  <si>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</si>
  <si>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</si>
  <si>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</si>
  <si>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total cost p</t>
  </si>
  <si>
    <t>total cost s</t>
  </si>
  <si>
    <t>facility</t>
  </si>
  <si>
    <t>Production days per month</t>
  </si>
  <si>
    <t>PIF</t>
  </si>
  <si>
    <t>SIF</t>
  </si>
  <si>
    <t>days/month</t>
  </si>
  <si>
    <t>months</t>
  </si>
  <si>
    <t>$/month</t>
  </si>
  <si>
    <t>i/s [tons/month]</t>
  </si>
  <si>
    <t>(5 years with 12 month per year)</t>
  </si>
  <si>
    <t>per month</t>
  </si>
  <si>
    <t>max cap. Quf [tons/month]</t>
  </si>
  <si>
    <t>min expansion qLf [tons/month]</t>
  </si>
  <si>
    <t>min production XLf [tons/month]</t>
  </si>
  <si>
    <t>Budget for primary &amp; secondary expansion (t=1)</t>
  </si>
  <si>
    <t>initial capacity Q0</t>
  </si>
  <si>
    <t>tons/month</t>
  </si>
  <si>
    <t>D Monopoly [tons/month]</t>
  </si>
  <si>
    <t>D Regular Market [tons/month]</t>
  </si>
  <si>
    <t>API</t>
  </si>
  <si>
    <t>construction cost cs</t>
  </si>
  <si>
    <t>Number of facilities</t>
  </si>
  <si>
    <t>Number of Materials</t>
  </si>
  <si>
    <t>Number of Months</t>
  </si>
  <si>
    <t>Number of 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</si>
</sst>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_-* #,##0\ _€_-;\-* #,##0\ _€_-;_-* &quot;-&quot;??\ _€_-;_-@_-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5" fontId="0" fillId="0" borderId="0" xfId="1" applyNumberFormat="1" applyFont="1"/>
    <xf numFmtId="165" fontId="0" fillId="0" borderId="0" xfId="0" applyNumberFormat="1"/>
    <xf numFmtId="1" fontId="0" fillId="0" borderId="0" xfId="0" applyNumberFormat="1" applyFont="1"/>
    <xf numFmtId="166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2"/>
  <sheetViews>
    <sheetView workbookViewId="0">
      <selection activeCell="A8" sqref="A8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18</v>
      </c>
      <c r="B1">
        <v>60</v>
      </c>
      <c r="C1" t="s">
        <v>38</v>
      </c>
      <c r="D1" t="s">
        <v>41</v>
      </c>
      <c r="G1" s="16" t="s">
        <v>26</v>
      </c>
    </row>
    <row r="2" spans="1:8" x14ac:dyDescent="0.3">
      <c r="A2" t="s">
        <v>19</v>
      </c>
      <c r="B2" s="21">
        <v>0.99573468122243936</v>
      </c>
      <c r="C2" t="s">
        <v>42</v>
      </c>
      <c r="D2" t="s">
        <v>25</v>
      </c>
    </row>
    <row r="3" spans="1:8" x14ac:dyDescent="0.3">
      <c r="A3" t="s">
        <v>20</v>
      </c>
      <c r="B3">
        <v>60</v>
      </c>
      <c r="C3" t="s">
        <v>38</v>
      </c>
    </row>
    <row r="4" spans="1:8" x14ac:dyDescent="0.3">
      <c r="A4" t="s">
        <v>21</v>
      </c>
      <c r="B4">
        <v>3</v>
      </c>
      <c r="C4" t="s">
        <v>38</v>
      </c>
    </row>
    <row r="5" spans="1:8" x14ac:dyDescent="0.3">
      <c r="A5" t="s">
        <v>22</v>
      </c>
      <c r="B5" s="18">
        <v>4000000</v>
      </c>
      <c r="C5" t="s">
        <v>39</v>
      </c>
      <c r="G5" t="s">
        <v>31</v>
      </c>
      <c r="H5" s="19">
        <f>B5*B3+B7</f>
        <v>250000000</v>
      </c>
    </row>
    <row r="6" spans="1:8" x14ac:dyDescent="0.3">
      <c r="A6" t="s">
        <v>52</v>
      </c>
      <c r="B6" s="18">
        <v>2000000</v>
      </c>
      <c r="C6" t="s">
        <v>39</v>
      </c>
      <c r="G6" t="s">
        <v>32</v>
      </c>
      <c r="H6" s="19">
        <f>B6*B4+B8</f>
        <v>11000000</v>
      </c>
    </row>
    <row r="7" spans="1:8" x14ac:dyDescent="0.3">
      <c r="A7" t="s">
        <v>23</v>
      </c>
      <c r="B7" s="18">
        <v>10000000</v>
      </c>
      <c r="C7" t="s">
        <v>12</v>
      </c>
    </row>
    <row r="8" spans="1:8" x14ac:dyDescent="0.3">
      <c r="A8" t="s">
        <v>24</v>
      </c>
      <c r="B8" s="18">
        <v>5000000</v>
      </c>
      <c r="C8" t="s">
        <v>12</v>
      </c>
    </row>
    <row r="9" spans="1:8" x14ac:dyDescent="0.3">
      <c r="A9" t="s">
        <v>27</v>
      </c>
      <c r="B9" s="18">
        <v>80000000</v>
      </c>
      <c r="C9" t="s">
        <v>39</v>
      </c>
    </row>
    <row r="10" spans="1:8" x14ac:dyDescent="0.3">
      <c r="A10" t="s">
        <v>28</v>
      </c>
    </row>
    <row r="11" spans="1:8" x14ac:dyDescent="0.3">
      <c r="A11" t="s">
        <v>29</v>
      </c>
    </row>
    <row r="12" spans="1:8" x14ac:dyDescent="0.3">
      <c r="A12" t="s">
        <v>30</v>
      </c>
      <c r="B12">
        <f>200+B10</f>
        <v>200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D20" sqref="D20"/>
    </sheetView>
  </sheetViews>
  <sheetFormatPr baseColWidth="10" defaultRowHeight="14.4" x14ac:dyDescent="0.3"/>
  <cols>
    <col min="1" max="3" width="11.5546875" style="1"/>
  </cols>
  <sheetData>
    <row r="1" spans="1:5" x14ac:dyDescent="0.3">
      <c r="A1" s="1" t="s">
        <v>5</v>
      </c>
      <c r="B1" s="1" t="s">
        <v>3</v>
      </c>
      <c r="C1" s="1" t="s">
        <v>6</v>
      </c>
      <c r="D1" s="1" t="s">
        <v>35</v>
      </c>
      <c r="E1" s="1" t="s">
        <v>36</v>
      </c>
    </row>
    <row r="2" spans="1:5" x14ac:dyDescent="0.3">
      <c r="A2" s="1">
        <v>1</v>
      </c>
      <c r="B2" s="1">
        <v>1</v>
      </c>
      <c r="C2" s="1">
        <v>0</v>
      </c>
      <c r="D2" s="1">
        <v>1</v>
      </c>
      <c r="E2" s="1">
        <v>0</v>
      </c>
    </row>
    <row r="3" spans="1:5" x14ac:dyDescent="0.3">
      <c r="A3" s="1">
        <v>2</v>
      </c>
      <c r="B3" s="1">
        <v>1</v>
      </c>
      <c r="C3" s="1">
        <v>0</v>
      </c>
      <c r="D3" s="1">
        <v>1</v>
      </c>
      <c r="E3" s="1">
        <v>0</v>
      </c>
    </row>
    <row r="4" spans="1:5" x14ac:dyDescent="0.3">
      <c r="A4" s="1">
        <v>3</v>
      </c>
      <c r="B4" s="1">
        <v>1</v>
      </c>
      <c r="C4" s="1">
        <v>0</v>
      </c>
      <c r="D4" s="1">
        <v>1</v>
      </c>
      <c r="E4" s="1">
        <v>0</v>
      </c>
    </row>
    <row r="5" spans="1:5" x14ac:dyDescent="0.3">
      <c r="A5" s="1">
        <v>4</v>
      </c>
      <c r="B5" s="1">
        <v>1</v>
      </c>
      <c r="C5" s="1">
        <v>0</v>
      </c>
      <c r="D5" s="1">
        <v>1</v>
      </c>
      <c r="E5" s="1">
        <v>0</v>
      </c>
    </row>
    <row r="6" spans="1:5" x14ac:dyDescent="0.3">
      <c r="A6" s="1">
        <v>5</v>
      </c>
      <c r="B6" s="1">
        <v>1</v>
      </c>
      <c r="C6" s="1">
        <v>0</v>
      </c>
      <c r="D6" s="1">
        <v>0</v>
      </c>
      <c r="E6" s="1">
        <v>1</v>
      </c>
    </row>
    <row r="7" spans="1:5" x14ac:dyDescent="0.3">
      <c r="A7" s="1">
        <v>6</v>
      </c>
      <c r="B7" s="1">
        <v>1</v>
      </c>
      <c r="C7" s="1">
        <v>0</v>
      </c>
      <c r="D7" s="1">
        <v>0</v>
      </c>
      <c r="E7" s="1">
        <v>1</v>
      </c>
    </row>
    <row r="8" spans="1:5" x14ac:dyDescent="0.3">
      <c r="A8" s="1">
        <v>7</v>
      </c>
      <c r="B8" s="1">
        <v>1</v>
      </c>
      <c r="C8" s="1">
        <v>0</v>
      </c>
      <c r="D8" s="1">
        <v>0</v>
      </c>
      <c r="E8" s="1">
        <v>1</v>
      </c>
    </row>
    <row r="9" spans="1:5" x14ac:dyDescent="0.3">
      <c r="A9" s="1">
        <v>8</v>
      </c>
      <c r="B9" s="1">
        <v>1</v>
      </c>
      <c r="C9" s="1">
        <v>0</v>
      </c>
      <c r="D9" s="1">
        <v>0</v>
      </c>
      <c r="E9" s="1">
        <v>1</v>
      </c>
    </row>
    <row r="10" spans="1:5" x14ac:dyDescent="0.3">
      <c r="A10" s="1">
        <v>9</v>
      </c>
      <c r="B10" s="1">
        <v>0</v>
      </c>
      <c r="C10" s="1">
        <v>1</v>
      </c>
      <c r="D10" s="1">
        <v>0</v>
      </c>
      <c r="E10" s="1">
        <v>0</v>
      </c>
    </row>
    <row r="11" spans="1:5" x14ac:dyDescent="0.3">
      <c r="A11" s="1">
        <v>10</v>
      </c>
      <c r="B11" s="1">
        <v>0</v>
      </c>
      <c r="C11" s="1">
        <v>1</v>
      </c>
      <c r="D11" s="1">
        <v>0</v>
      </c>
      <c r="E11" s="1">
        <v>0</v>
      </c>
    </row>
    <row r="12" spans="1:5" x14ac:dyDescent="0.3">
      <c r="A12" s="1">
        <v>11</v>
      </c>
      <c r="B12" s="1">
        <v>0</v>
      </c>
      <c r="C12" s="1">
        <v>1</v>
      </c>
      <c r="D12" s="1">
        <v>0</v>
      </c>
      <c r="E12" s="1">
        <v>0</v>
      </c>
    </row>
    <row r="13" spans="1:5" x14ac:dyDescent="0.3">
      <c r="A13" s="1">
        <v>12</v>
      </c>
      <c r="B13" s="1">
        <v>0</v>
      </c>
      <c r="C13" s="1">
        <v>1</v>
      </c>
      <c r="D13" s="1">
        <v>0</v>
      </c>
      <c r="E13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E14" sqref="E14"/>
    </sheetView>
  </sheetViews>
  <sheetFormatPr baseColWidth="10" defaultRowHeight="14.4" x14ac:dyDescent="0.3"/>
  <cols>
    <col min="1" max="1" width="11.5546875" style="5"/>
    <col min="2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6384" width="11.5546875" style="3"/>
  </cols>
  <sheetData>
    <row r="1" spans="1:5" s="5" customFormat="1" x14ac:dyDescent="0.3">
      <c r="A1" s="4" t="s">
        <v>7</v>
      </c>
      <c r="B1" s="4">
        <v>1</v>
      </c>
      <c r="C1" s="4">
        <v>2</v>
      </c>
      <c r="D1" s="4">
        <v>3</v>
      </c>
      <c r="E1" s="4">
        <v>4</v>
      </c>
    </row>
    <row r="2" spans="1:5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</row>
    <row r="3" spans="1:5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</row>
    <row r="4" spans="1:5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</row>
    <row r="5" spans="1:5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</row>
    <row r="6" spans="1:5" x14ac:dyDescent="0.3">
      <c r="A6" s="4">
        <v>5</v>
      </c>
      <c r="B6" s="2">
        <v>1</v>
      </c>
      <c r="C6" s="2">
        <v>0</v>
      </c>
      <c r="D6" s="2">
        <v>0</v>
      </c>
      <c r="E6" s="2">
        <v>0</v>
      </c>
    </row>
    <row r="7" spans="1:5" x14ac:dyDescent="0.3">
      <c r="A7" s="4">
        <v>6</v>
      </c>
      <c r="B7" s="2">
        <v>0</v>
      </c>
      <c r="C7" s="2">
        <v>1</v>
      </c>
      <c r="D7" s="2">
        <v>0</v>
      </c>
      <c r="E7" s="2">
        <v>0</v>
      </c>
    </row>
    <row r="8" spans="1:5" x14ac:dyDescent="0.3">
      <c r="A8" s="4">
        <v>7</v>
      </c>
      <c r="B8" s="2">
        <v>0</v>
      </c>
      <c r="C8" s="2">
        <v>0</v>
      </c>
      <c r="D8" s="2">
        <v>1</v>
      </c>
      <c r="E8" s="2">
        <v>0</v>
      </c>
    </row>
    <row r="9" spans="1:5" x14ac:dyDescent="0.3">
      <c r="A9" s="4">
        <v>8</v>
      </c>
      <c r="B9" s="2">
        <v>0</v>
      </c>
      <c r="C9" s="2">
        <v>0</v>
      </c>
      <c r="D9" s="2">
        <v>0</v>
      </c>
      <c r="E9" s="2">
        <v>1</v>
      </c>
    </row>
    <row r="10" spans="1:5" x14ac:dyDescent="0.3">
      <c r="A10" s="4">
        <v>9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3">
      <c r="A11" s="4">
        <v>10</v>
      </c>
      <c r="B11" s="2">
        <v>0</v>
      </c>
      <c r="C11" s="2">
        <v>0</v>
      </c>
      <c r="D11" s="2">
        <v>0</v>
      </c>
      <c r="E11" s="2">
        <v>1</v>
      </c>
    </row>
    <row r="12" spans="1:5" x14ac:dyDescent="0.3">
      <c r="A12" s="4">
        <v>11</v>
      </c>
      <c r="B12" s="2">
        <v>0</v>
      </c>
      <c r="C12" s="2">
        <v>0</v>
      </c>
      <c r="D12" s="2">
        <v>1</v>
      </c>
      <c r="E12" s="2">
        <v>0</v>
      </c>
    </row>
    <row r="13" spans="1:5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</row>
  </sheetData>
  <conditionalFormatting sqref="B2:E1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A4" sqref="A4:A13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1</v>
      </c>
      <c r="C2" s="2">
        <v>1</v>
      </c>
      <c r="D2" s="2">
        <v>0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1</v>
      </c>
      <c r="C3" s="2">
        <v>1</v>
      </c>
      <c r="D3" s="2">
        <v>0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1</v>
      </c>
      <c r="C4" s="2">
        <v>1</v>
      </c>
      <c r="D4" s="2">
        <v>0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1</v>
      </c>
      <c r="C5" s="2">
        <v>1</v>
      </c>
      <c r="D5" s="2">
        <v>0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1</v>
      </c>
      <c r="E6" s="2">
        <v>1</v>
      </c>
      <c r="F6" s="2">
        <v>0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1</v>
      </c>
      <c r="E7" s="2">
        <v>1</v>
      </c>
      <c r="F7" s="2">
        <v>0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1</v>
      </c>
      <c r="E8" s="2">
        <v>1</v>
      </c>
      <c r="F8" s="2">
        <v>0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1</v>
      </c>
      <c r="E9" s="2">
        <v>1</v>
      </c>
      <c r="F9" s="2">
        <v>0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/>
      <c r="H13" s="2"/>
    </row>
  </sheetData>
  <conditionalFormatting sqref="B2:H1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H18" sqref="H18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0</v>
      </c>
      <c r="C2" s="2">
        <v>0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</row>
    <row r="10" spans="1:8" x14ac:dyDescent="0.3">
      <c r="A10" s="4">
        <v>9</v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10"/>
  <sheetViews>
    <sheetView tabSelected="1" workbookViewId="0">
      <selection activeCell="H14" sqref="H14"/>
    </sheetView>
  </sheetViews>
  <sheetFormatPr baseColWidth="10" defaultRowHeight="14.4" x14ac:dyDescent="0.3"/>
  <cols>
    <col min="1" max="1" width="40.21875" bestFit="1" customWidth="1"/>
    <col min="2" max="2" width="16.44140625" bestFit="1" customWidth="1"/>
  </cols>
  <sheetData>
    <row r="1" spans="1:4" x14ac:dyDescent="0.3">
      <c r="A1" t="s">
        <v>34</v>
      </c>
      <c r="B1">
        <v>25</v>
      </c>
      <c r="C1" t="s">
        <v>37</v>
      </c>
      <c r="D1" s="16" t="s">
        <v>17</v>
      </c>
    </row>
    <row r="2" spans="1:4" x14ac:dyDescent="0.3">
      <c r="A2" t="s">
        <v>9</v>
      </c>
      <c r="B2">
        <f>15*12</f>
        <v>180</v>
      </c>
      <c r="C2" t="s">
        <v>38</v>
      </c>
    </row>
    <row r="3" spans="1:4" x14ac:dyDescent="0.3">
      <c r="A3" t="s">
        <v>46</v>
      </c>
      <c r="B3" s="17">
        <v>350000000</v>
      </c>
      <c r="C3" t="s">
        <v>12</v>
      </c>
    </row>
    <row r="4" spans="1:4" x14ac:dyDescent="0.3">
      <c r="A4" t="s">
        <v>47</v>
      </c>
      <c r="B4">
        <v>0</v>
      </c>
      <c r="C4" t="s">
        <v>48</v>
      </c>
    </row>
    <row r="5" spans="1:4" x14ac:dyDescent="0.3">
      <c r="A5" t="s">
        <v>51</v>
      </c>
      <c r="B5">
        <v>3</v>
      </c>
    </row>
    <row r="7" spans="1:4" x14ac:dyDescent="0.3">
      <c r="A7" t="s">
        <v>53</v>
      </c>
      <c r="B7">
        <v>12</v>
      </c>
    </row>
    <row r="8" spans="1:4" x14ac:dyDescent="0.3">
      <c r="A8" t="s">
        <v>54</v>
      </c>
      <c r="B8">
        <v>5</v>
      </c>
    </row>
    <row r="9" spans="1:4" x14ac:dyDescent="0.3">
      <c r="A9" t="s">
        <v>55</v>
      </c>
      <c r="B9">
        <v>180</v>
      </c>
    </row>
    <row r="10" spans="1:4" x14ac:dyDescent="0.3">
      <c r="A10" t="s">
        <v>56</v>
      </c>
      <c r="B10">
        <v>4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5"/>
  <sheetViews>
    <sheetView workbookViewId="0">
      <selection activeCell="F30" sqref="F30:F3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F19" sqref="F19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3">
      <c r="A2" s="4">
        <v>1</v>
      </c>
      <c r="B2" s="2">
        <v>0.6</v>
      </c>
      <c r="C2" s="2">
        <v>0.4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0.6</v>
      </c>
      <c r="C3" s="2">
        <v>0.4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0.6</v>
      </c>
      <c r="C4" s="2">
        <v>0.4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0.6</v>
      </c>
      <c r="C5" s="2">
        <v>0.4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0.6</v>
      </c>
      <c r="E6" s="2">
        <v>0.4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0.6</v>
      </c>
      <c r="E7" s="2">
        <v>0.4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0.6</v>
      </c>
      <c r="E8" s="2">
        <v>0.4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0.6</v>
      </c>
      <c r="E9" s="2">
        <v>0.4</v>
      </c>
      <c r="F9" s="2">
        <v>1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" sqref="D2"/>
    </sheetView>
  </sheetViews>
  <sheetFormatPr baseColWidth="10" defaultRowHeight="14.4" x14ac:dyDescent="0.3"/>
  <cols>
    <col min="1" max="1" width="11.5546875" style="4"/>
    <col min="2" max="2" width="24.33203125" style="2" bestFit="1" customWidth="1"/>
    <col min="3" max="3" width="28.6640625" style="2" bestFit="1" customWidth="1"/>
    <col min="4" max="4" width="29.4414062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4</v>
      </c>
      <c r="B1" s="4" t="s">
        <v>43</v>
      </c>
      <c r="C1" s="4" t="s">
        <v>44</v>
      </c>
      <c r="D1" s="4" t="s">
        <v>45</v>
      </c>
      <c r="E1" s="4" t="s">
        <v>13</v>
      </c>
    </row>
    <row r="2" spans="1:5" x14ac:dyDescent="0.3">
      <c r="A2" s="4">
        <v>1</v>
      </c>
      <c r="B2" s="2">
        <v>6250</v>
      </c>
      <c r="C2" s="2">
        <v>1500</v>
      </c>
      <c r="D2" s="2">
        <v>1250</v>
      </c>
      <c r="E2" s="2">
        <v>1120</v>
      </c>
    </row>
    <row r="3" spans="1:5" x14ac:dyDescent="0.3">
      <c r="A3" s="4">
        <v>2</v>
      </c>
      <c r="B3" s="2">
        <v>7500</v>
      </c>
      <c r="C3" s="2">
        <v>1500</v>
      </c>
      <c r="D3" s="2">
        <v>1250</v>
      </c>
      <c r="E3" s="2">
        <v>1120</v>
      </c>
    </row>
    <row r="4" spans="1:5" x14ac:dyDescent="0.3">
      <c r="A4" s="4">
        <v>3</v>
      </c>
      <c r="B4" s="2">
        <v>7000</v>
      </c>
      <c r="C4" s="2">
        <v>1500</v>
      </c>
      <c r="D4" s="2">
        <v>1250</v>
      </c>
      <c r="E4" s="2">
        <v>1120</v>
      </c>
    </row>
    <row r="5" spans="1:5" x14ac:dyDescent="0.3">
      <c r="A5" s="4">
        <v>4</v>
      </c>
      <c r="B5" s="2">
        <v>8000</v>
      </c>
      <c r="C5" s="2">
        <v>1500</v>
      </c>
      <c r="D5" s="2">
        <v>1250</v>
      </c>
      <c r="E5" s="2">
        <v>1120</v>
      </c>
    </row>
    <row r="6" spans="1:5" x14ac:dyDescent="0.3">
      <c r="A6" s="4">
        <v>5</v>
      </c>
      <c r="B6" s="2">
        <v>2000</v>
      </c>
      <c r="C6" s="2">
        <v>500</v>
      </c>
      <c r="D6" s="2">
        <v>250</v>
      </c>
      <c r="E6" s="2">
        <v>930</v>
      </c>
    </row>
    <row r="7" spans="1:5" x14ac:dyDescent="0.3">
      <c r="A7" s="4">
        <v>6</v>
      </c>
      <c r="B7" s="2">
        <v>2250</v>
      </c>
      <c r="C7" s="2">
        <v>500</v>
      </c>
      <c r="D7" s="2">
        <v>250</v>
      </c>
      <c r="E7" s="2">
        <v>930</v>
      </c>
    </row>
    <row r="8" spans="1:5" x14ac:dyDescent="0.3">
      <c r="A8" s="4">
        <v>7</v>
      </c>
      <c r="B8" s="2">
        <v>1750</v>
      </c>
      <c r="C8" s="2">
        <v>500</v>
      </c>
      <c r="D8" s="2">
        <v>250</v>
      </c>
      <c r="E8" s="2">
        <v>930</v>
      </c>
    </row>
    <row r="9" spans="1:5" x14ac:dyDescent="0.3">
      <c r="A9" s="4">
        <v>8</v>
      </c>
      <c r="B9" s="2">
        <v>2250</v>
      </c>
      <c r="C9" s="2">
        <v>500</v>
      </c>
      <c r="D9" s="2">
        <v>250</v>
      </c>
      <c r="E9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4"/>
  <sheetViews>
    <sheetView workbookViewId="0">
      <selection activeCell="E9" sqref="E9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3.6640625" style="10" bestFit="1" customWidth="1"/>
    <col min="4" max="4" width="27.8867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2</v>
      </c>
      <c r="B1" s="6"/>
      <c r="C1" s="6">
        <v>6250</v>
      </c>
      <c r="D1" s="6">
        <f>SUM(D3:D4)</f>
        <v>2875</v>
      </c>
      <c r="E1" s="6"/>
    </row>
    <row r="2" spans="1:5" s="9" customFormat="1" x14ac:dyDescent="0.3">
      <c r="A2" s="7" t="s">
        <v>33</v>
      </c>
      <c r="B2" s="7" t="s">
        <v>14</v>
      </c>
      <c r="C2" s="7" t="s">
        <v>49</v>
      </c>
      <c r="D2" s="7" t="s">
        <v>50</v>
      </c>
      <c r="E2" s="7" t="s">
        <v>10</v>
      </c>
    </row>
    <row r="3" spans="1:5" x14ac:dyDescent="0.3">
      <c r="A3" s="7">
        <v>11</v>
      </c>
      <c r="B3" s="10">
        <v>0.4</v>
      </c>
      <c r="C3" s="10">
        <f>B3*$C$1</f>
        <v>2500</v>
      </c>
      <c r="D3" s="20">
        <f>C3*E3</f>
        <v>1750</v>
      </c>
      <c r="E3" s="10">
        <v>0.7</v>
      </c>
    </row>
    <row r="4" spans="1:5" x14ac:dyDescent="0.3">
      <c r="A4" s="7">
        <v>12</v>
      </c>
      <c r="B4" s="10">
        <v>0.6</v>
      </c>
      <c r="C4" s="10">
        <f t="shared" ref="C4" si="0">B4*$C$1</f>
        <v>3750</v>
      </c>
      <c r="D4" s="20">
        <f t="shared" ref="D4" si="1">C4*E4</f>
        <v>1125</v>
      </c>
      <c r="E4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4"/>
  <sheetViews>
    <sheetView workbookViewId="0">
      <selection activeCell="H15" sqref="H15"/>
    </sheetView>
  </sheetViews>
  <sheetFormatPr baseColWidth="10" defaultRowHeight="14.4" x14ac:dyDescent="0.3"/>
  <cols>
    <col min="1" max="1" width="15.109375" bestFit="1" customWidth="1"/>
  </cols>
  <sheetData>
    <row r="1" spans="1:6" x14ac:dyDescent="0.3">
      <c r="A1" s="13" t="s">
        <v>40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3">
      <c r="A2" s="13">
        <v>1</v>
      </c>
      <c r="B2" s="2">
        <v>5000</v>
      </c>
      <c r="C2" s="2">
        <v>2750</v>
      </c>
      <c r="D2" s="2">
        <v>2000</v>
      </c>
      <c r="E2" s="2">
        <v>1500</v>
      </c>
      <c r="F2" s="2">
        <v>4250</v>
      </c>
    </row>
    <row r="3" spans="1:6" x14ac:dyDescent="0.3">
      <c r="A3" s="13">
        <v>2</v>
      </c>
      <c r="B3" s="2">
        <v>3750</v>
      </c>
      <c r="C3" s="2">
        <v>2500</v>
      </c>
      <c r="D3" s="2">
        <v>3000</v>
      </c>
      <c r="E3" s="2">
        <v>2000</v>
      </c>
      <c r="F3" s="2">
        <v>3750</v>
      </c>
    </row>
    <row r="4" spans="1:6" x14ac:dyDescent="0.3">
      <c r="A4" s="13">
        <v>6</v>
      </c>
      <c r="B4" s="2">
        <v>1750</v>
      </c>
      <c r="C4" s="2">
        <v>4250</v>
      </c>
      <c r="D4" s="2">
        <v>3750</v>
      </c>
      <c r="E4" s="2">
        <v>2750</v>
      </c>
      <c r="F4" s="2">
        <v>2000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D21" sqref="D21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15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</row>
    <row r="7" spans="1:8" x14ac:dyDescent="0.3">
      <c r="A7" s="4">
        <v>6</v>
      </c>
    </row>
    <row r="8" spans="1:8" x14ac:dyDescent="0.3">
      <c r="A8" s="4">
        <v>7</v>
      </c>
    </row>
    <row r="9" spans="1:8" x14ac:dyDescent="0.3">
      <c r="A9" s="4">
        <v>8</v>
      </c>
    </row>
    <row r="10" spans="1:8" x14ac:dyDescent="0.3">
      <c r="A10" s="4">
        <v>9</v>
      </c>
      <c r="B10" s="2">
        <v>510</v>
      </c>
      <c r="C10" s="2">
        <v>2280</v>
      </c>
      <c r="D10" s="2">
        <v>1410</v>
      </c>
      <c r="E10" s="2">
        <v>1550</v>
      </c>
      <c r="G10" s="2">
        <v>780</v>
      </c>
      <c r="H10" s="2">
        <v>990</v>
      </c>
    </row>
    <row r="11" spans="1:8" x14ac:dyDescent="0.3">
      <c r="A11" s="4">
        <v>10</v>
      </c>
      <c r="B11" s="2">
        <v>1780</v>
      </c>
      <c r="C11" s="2">
        <v>1170</v>
      </c>
      <c r="D11" s="2">
        <v>750</v>
      </c>
      <c r="E11" s="2">
        <v>1210</v>
      </c>
      <c r="G11" s="2">
        <v>1580</v>
      </c>
      <c r="H11" s="2">
        <v>1410</v>
      </c>
    </row>
    <row r="12" spans="1:8" x14ac:dyDescent="0.3">
      <c r="A12" s="4">
        <v>11</v>
      </c>
    </row>
    <row r="13" spans="1:8" x14ac:dyDescent="0.3">
      <c r="A13" s="4">
        <v>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N22" sqref="N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v>15</v>
      </c>
      <c r="C2" s="15">
        <v>39</v>
      </c>
      <c r="D2" s="15">
        <v>39</v>
      </c>
      <c r="E2" s="15">
        <v>41</v>
      </c>
      <c r="H2" s="2"/>
      <c r="I2" s="2"/>
      <c r="J2" s="2"/>
      <c r="K2" s="2"/>
    </row>
    <row r="3" spans="1:11" x14ac:dyDescent="0.3">
      <c r="A3" s="12">
        <v>10</v>
      </c>
      <c r="B3" s="15">
        <v>32</v>
      </c>
      <c r="C3" s="15">
        <v>45</v>
      </c>
      <c r="D3" s="15">
        <v>55</v>
      </c>
      <c r="E3" s="14">
        <v>13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H2" s="2"/>
      <c r="I2" s="2"/>
      <c r="J2" s="2"/>
      <c r="K2" s="2"/>
    </row>
    <row r="3" spans="1:11" x14ac:dyDescent="0.3">
      <c r="A3" s="12">
        <v>10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H2" s="2"/>
      <c r="I2" s="2"/>
      <c r="J2" s="2"/>
      <c r="K2" s="2"/>
    </row>
    <row r="3" spans="1:11" x14ac:dyDescent="0.3">
      <c r="A3" s="12">
        <v>10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E5"/>
  <sheetViews>
    <sheetView workbookViewId="0">
      <selection activeCell="E2" sqref="E2"/>
    </sheetView>
  </sheetViews>
  <sheetFormatPr baseColWidth="10" defaultRowHeight="14.4" x14ac:dyDescent="0.3"/>
  <cols>
    <col min="1" max="1" width="9.88671875" style="3" bestFit="1" customWidth="1"/>
    <col min="2" max="6" width="8.77734375" style="3" customWidth="1"/>
    <col min="7" max="16384" width="11.5546875" style="3"/>
  </cols>
  <sheetData>
    <row r="1" spans="1:5" x14ac:dyDescent="0.3">
      <c r="A1" s="12" t="s">
        <v>16</v>
      </c>
      <c r="B1" s="12">
        <v>8</v>
      </c>
      <c r="C1" s="12">
        <v>9</v>
      </c>
      <c r="D1" s="12">
        <v>10</v>
      </c>
      <c r="E1" s="12">
        <v>11</v>
      </c>
    </row>
    <row r="2" spans="1:5" x14ac:dyDescent="0.3">
      <c r="A2" s="12">
        <v>1</v>
      </c>
      <c r="B2" s="14">
        <v>0</v>
      </c>
      <c r="C2" s="15">
        <v>13</v>
      </c>
      <c r="D2" s="15">
        <v>23</v>
      </c>
      <c r="E2" s="15">
        <v>37</v>
      </c>
    </row>
    <row r="3" spans="1:5" x14ac:dyDescent="0.3">
      <c r="A3" s="12">
        <v>2</v>
      </c>
      <c r="B3" s="15">
        <v>38</v>
      </c>
      <c r="C3" s="14">
        <v>0</v>
      </c>
      <c r="D3" s="15">
        <v>25</v>
      </c>
      <c r="E3" s="15">
        <v>9</v>
      </c>
    </row>
    <row r="4" spans="1:5" x14ac:dyDescent="0.3">
      <c r="A4" s="12">
        <v>3</v>
      </c>
      <c r="B4" s="15">
        <v>28</v>
      </c>
      <c r="C4" s="15">
        <v>39</v>
      </c>
      <c r="D4" s="14">
        <v>0</v>
      </c>
      <c r="E4" s="15">
        <v>31</v>
      </c>
    </row>
    <row r="5" spans="1:5" x14ac:dyDescent="0.3">
      <c r="A5" s="12">
        <v>4</v>
      </c>
      <c r="B5" s="15">
        <v>25</v>
      </c>
      <c r="C5" s="15">
        <v>23</v>
      </c>
      <c r="D5" s="15">
        <v>27</v>
      </c>
      <c r="E5" s="14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E22" sqref="E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H2" s="2"/>
      <c r="I2" s="2"/>
      <c r="J2" s="2"/>
      <c r="K2" s="2"/>
    </row>
    <row r="3" spans="1:11" x14ac:dyDescent="0.3">
      <c r="A3" s="12">
        <v>10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A4" sqref="A4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I7"/>
  <sheetViews>
    <sheetView workbookViewId="0">
      <selection activeCell="B30" sqref="B30"/>
    </sheetView>
  </sheetViews>
  <sheetFormatPr baseColWidth="10" defaultRowHeight="14.4" x14ac:dyDescent="0.3"/>
  <cols>
    <col min="1" max="1" width="11.5546875" style="13"/>
    <col min="2" max="9" width="8.77734375" style="2" customWidth="1"/>
    <col min="10" max="16384" width="11.5546875" style="2"/>
  </cols>
  <sheetData>
    <row r="1" spans="1:9" s="13" customFormat="1" x14ac:dyDescent="0.3">
      <c r="A1" s="13" t="s">
        <v>11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</row>
    <row r="2" spans="1:9" x14ac:dyDescent="0.3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0.15</v>
      </c>
      <c r="H2" s="2">
        <v>0.4</v>
      </c>
      <c r="I2" s="2">
        <v>0.75</v>
      </c>
    </row>
    <row r="3" spans="1:9" x14ac:dyDescent="0.3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0.05</v>
      </c>
      <c r="G3" s="2">
        <v>0</v>
      </c>
      <c r="H3" s="2">
        <v>0.4</v>
      </c>
      <c r="I3" s="2">
        <v>0.75</v>
      </c>
    </row>
    <row r="4" spans="1:9" x14ac:dyDescent="0.3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0.05</v>
      </c>
      <c r="G4" s="2">
        <v>0.15</v>
      </c>
      <c r="H4" s="2">
        <v>0</v>
      </c>
      <c r="I4" s="2">
        <v>0.75</v>
      </c>
    </row>
    <row r="5" spans="1:9" x14ac:dyDescent="0.3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0.05</v>
      </c>
      <c r="G5" s="2">
        <v>0.15</v>
      </c>
      <c r="H5" s="2">
        <v>0.4</v>
      </c>
      <c r="I5" s="2">
        <v>0</v>
      </c>
    </row>
    <row r="6" spans="1:9" x14ac:dyDescent="0.3">
      <c r="A6" s="13">
        <v>9</v>
      </c>
      <c r="B6" s="2">
        <v>0</v>
      </c>
      <c r="C6" s="2">
        <v>0.15</v>
      </c>
      <c r="D6" s="2">
        <v>0.4</v>
      </c>
      <c r="E6" s="2">
        <v>0.75</v>
      </c>
      <c r="F6" s="2">
        <v>0</v>
      </c>
      <c r="G6" s="2">
        <v>0.15</v>
      </c>
      <c r="H6" s="2">
        <v>0.4</v>
      </c>
      <c r="I6" s="2">
        <v>0.75</v>
      </c>
    </row>
    <row r="7" spans="1:9" x14ac:dyDescent="0.3">
      <c r="A7" s="13">
        <v>10</v>
      </c>
      <c r="B7" s="2">
        <v>0.05</v>
      </c>
      <c r="C7" s="2">
        <v>0.15</v>
      </c>
      <c r="D7" s="2">
        <v>0.4</v>
      </c>
      <c r="E7" s="2">
        <v>0</v>
      </c>
      <c r="F7" s="2">
        <v>0.05</v>
      </c>
      <c r="G7" s="2">
        <v>0.15</v>
      </c>
      <c r="H7" s="2">
        <v>0.4</v>
      </c>
      <c r="I7" s="2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2017-11-04T16:19:04Z</dcterms:modified>
</cp:coreProperties>
</file>